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Z:\Relatórios\Relatórios mensais\2025\3º Trimestre\Ficheiros finais - RevJR\"/>
    </mc:Choice>
  </mc:AlternateContent>
  <xr:revisionPtr revIDLastSave="0" documentId="13_ncr:1_{E96FB6FB-B80F-4440-991B-C8D937E716F7}" xr6:coauthVersionLast="47" xr6:coauthVersionMax="47" xr10:uidLastSave="{00000000-0000-0000-0000-000000000000}"/>
  <bookViews>
    <workbookView xWindow="-28920" yWindow="-120" windowWidth="29040" windowHeight="15840" tabRatio="893" xr2:uid="{A800B4F3-1728-4C29-8222-9D21F6ED86F1}"/>
  </bookViews>
  <sheets>
    <sheet name=" Índice" sheetId="30" r:id="rId1"/>
    <sheet name="Siglas" sheetId="3" r:id="rId2"/>
    <sheet name="1" sheetId="1" r:id="rId3"/>
    <sheet name="2" sheetId="4" r:id="rId4"/>
    <sheet name="3" sheetId="5" r:id="rId5"/>
    <sheet name="4 e 5" sheetId="6" r:id="rId6"/>
    <sheet name="6" sheetId="7" r:id="rId7"/>
    <sheet name="7" sheetId="8" r:id="rId8"/>
    <sheet name="8" sheetId="9" r:id="rId9"/>
    <sheet name="9 e 10" sheetId="10" r:id="rId10"/>
    <sheet name="11 e 12" sheetId="11" r:id="rId11"/>
    <sheet name="13 e 14" sheetId="12" r:id="rId12"/>
    <sheet name="15" sheetId="13" r:id="rId13"/>
    <sheet name="16 e 17" sheetId="14" r:id="rId14"/>
    <sheet name="18" sheetId="15" r:id="rId15"/>
    <sheet name="19 e 20" sheetId="16" r:id="rId16"/>
    <sheet name="21" sheetId="34" r:id="rId17"/>
    <sheet name="22" sheetId="17" r:id="rId18"/>
    <sheet name="23" sheetId="18" r:id="rId19"/>
    <sheet name="24" sheetId="19" r:id="rId20"/>
    <sheet name="25" sheetId="20" r:id="rId21"/>
    <sheet name="26" sheetId="21" r:id="rId22"/>
    <sheet name="27" sheetId="22" r:id="rId23"/>
    <sheet name="28" sheetId="23" r:id="rId24"/>
    <sheet name="29" sheetId="24" r:id="rId25"/>
  </sheets>
  <externalReferences>
    <externalReference r:id="rId26"/>
  </externalReferences>
  <definedNames>
    <definedName name="\a">#N/A</definedName>
    <definedName name="_" localSheetId="0">#REF!</definedName>
    <definedName name="_" localSheetId="16">#REF!</definedName>
    <definedName name="_" localSheetId="1">#REF!</definedName>
    <definedName name="_">#REF!</definedName>
    <definedName name="_t1">#REF!</definedName>
    <definedName name="A" localSheetId="16">#REF!</definedName>
    <definedName name="A" localSheetId="1">#REF!</definedName>
    <definedName name="A">#REF!</definedName>
    <definedName name="aa" localSheetId="16">#REF!</definedName>
    <definedName name="aa" localSheetId="1">#REF!</definedName>
    <definedName name="aa">#REF!</definedName>
    <definedName name="Anuário99CNH" localSheetId="16">#REF!</definedName>
    <definedName name="Anuário99CNH" localSheetId="1">#REF!</definedName>
    <definedName name="Anuário99CNH">#REF!</definedName>
    <definedName name="ASAS" localSheetId="16">#REF!</definedName>
    <definedName name="ASAS" localSheetId="1">#REF!</definedName>
    <definedName name="ASAS">#REF!</definedName>
    <definedName name="b" localSheetId="16">#REF!</definedName>
    <definedName name="b" localSheetId="1">#REF!</definedName>
    <definedName name="b">#REF!</definedName>
    <definedName name="bb" localSheetId="16">#REF!</definedName>
    <definedName name="bb" localSheetId="1">#REF!</definedName>
    <definedName name="bb">#REF!</definedName>
    <definedName name="Cabe_1" localSheetId="16">#REF!</definedName>
    <definedName name="Cabe_1" localSheetId="1">#REF!</definedName>
    <definedName name="Cabe_1">#REF!</definedName>
    <definedName name="Cabe_2" localSheetId="16">#REF!</definedName>
    <definedName name="Cabe_2" localSheetId="1">#REF!</definedName>
    <definedName name="Cabe_2">#REF!</definedName>
    <definedName name="Cabe_3" localSheetId="16">#REF!</definedName>
    <definedName name="Cabe_3" localSheetId="1">#REF!</definedName>
    <definedName name="Cabe_3">#REF!</definedName>
    <definedName name="Cabe_4" localSheetId="16">#REF!</definedName>
    <definedName name="Cabe_4" localSheetId="1">#REF!</definedName>
    <definedName name="Cabe_4">#REF!</definedName>
    <definedName name="Cabe_5" localSheetId="16">#REF!</definedName>
    <definedName name="Cabe_5">#REF!</definedName>
    <definedName name="Cabe_6" localSheetId="16">#REF!</definedName>
    <definedName name="Cabe_6">#REF!</definedName>
    <definedName name="Cabe_7" localSheetId="16">#REF!</definedName>
    <definedName name="Cabe_7">#REF!</definedName>
    <definedName name="Cabe_8" localSheetId="16">#REF!</definedName>
    <definedName name="Cabe_8">#REF!</definedName>
    <definedName name="cc" localSheetId="16">#REF!</definedName>
    <definedName name="cc" localSheetId="1">#REF!</definedName>
    <definedName name="cc">#REF!</definedName>
    <definedName name="cen_1" localSheetId="16">#REF!</definedName>
    <definedName name="cen_1" localSheetId="1">#REF!</definedName>
    <definedName name="cen_1">#REF!</definedName>
    <definedName name="cen_2" localSheetId="16">#REF!</definedName>
    <definedName name="cen_2" localSheetId="1">#REF!</definedName>
    <definedName name="cen_2">#REF!</definedName>
    <definedName name="cen_3" localSheetId="16">#REF!</definedName>
    <definedName name="cen_3" localSheetId="1">#REF!</definedName>
    <definedName name="cen_3">#REF!</definedName>
    <definedName name="cen_t" localSheetId="16">#REF!</definedName>
    <definedName name="cen_t" localSheetId="1">#REF!</definedName>
    <definedName name="cen_t">#REF!</definedName>
    <definedName name="dd" localSheetId="16">#REF!</definedName>
    <definedName name="dd" localSheetId="1">#REF!</definedName>
    <definedName name="dd">#REF!</definedName>
    <definedName name="ddd">#REF!</definedName>
    <definedName name="ddddd" localSheetId="16">#REF!</definedName>
    <definedName name="ddddd" localSheetId="1">#REF!</definedName>
    <definedName name="ddddd">#REF!</definedName>
    <definedName name="dddkkk">#REF!</definedName>
    <definedName name="dir_1" localSheetId="16">#REF!</definedName>
    <definedName name="dir_1" localSheetId="1">#REF!</definedName>
    <definedName name="dir_1">#REF!</definedName>
    <definedName name="dir_2" localSheetId="16">#REF!</definedName>
    <definedName name="dir_2" localSheetId="1">#REF!</definedName>
    <definedName name="dir_2">#REF!</definedName>
    <definedName name="dir_3" localSheetId="16">#REF!</definedName>
    <definedName name="dir_3" localSheetId="1">#REF!</definedName>
    <definedName name="dir_3">#REF!</definedName>
    <definedName name="dir_t" localSheetId="16">#REF!</definedName>
    <definedName name="dir_t" localSheetId="1">#REF!</definedName>
    <definedName name="dir_t">#REF!</definedName>
    <definedName name="DISTRITOS" localSheetId="16">#REF!</definedName>
    <definedName name="DISTRITOS" localSheetId="1">#REF!</definedName>
    <definedName name="DISTRITOS">#REF!</definedName>
    <definedName name="distritos1" localSheetId="16">#REF!</definedName>
    <definedName name="distritos1" localSheetId="1">#REF!</definedName>
    <definedName name="distritos1">#REF!</definedName>
    <definedName name="Distritos2" localSheetId="16">#REF!</definedName>
    <definedName name="Distritos2" localSheetId="1">#REF!</definedName>
    <definedName name="Distritos2">#REF!</definedName>
    <definedName name="DS" localSheetId="16">#REF!</definedName>
    <definedName name="DS" localSheetId="1">#REF!</definedName>
    <definedName name="DS">#REF!</definedName>
    <definedName name="ee" localSheetId="16">#REF!</definedName>
    <definedName name="ee" localSheetId="1">#REF!</definedName>
    <definedName name="ee">#REF!</definedName>
    <definedName name="esq_1" localSheetId="16">#REF!</definedName>
    <definedName name="esq_1" localSheetId="1">#REF!</definedName>
    <definedName name="esq_1">#REF!</definedName>
    <definedName name="esq_2" localSheetId="16">#REF!</definedName>
    <definedName name="esq_2" localSheetId="1">#REF!</definedName>
    <definedName name="esq_2">#REF!</definedName>
    <definedName name="esq_3" localSheetId="16">#REF!</definedName>
    <definedName name="esq_3" localSheetId="1">#REF!</definedName>
    <definedName name="esq_3">#REF!</definedName>
    <definedName name="esq_t" localSheetId="16">#REF!</definedName>
    <definedName name="esq_t" localSheetId="1">#REF!</definedName>
    <definedName name="esq_t">#REF!</definedName>
    <definedName name="EWTRFER" localSheetId="16">#REF!</definedName>
    <definedName name="EWTRFER" localSheetId="1">#REF!</definedName>
    <definedName name="EWTRFER">#REF!</definedName>
    <definedName name="ff" localSheetId="16">#REF!</definedName>
    <definedName name="ff" localSheetId="1">#REF!</definedName>
    <definedName name="ff">#REF!</definedName>
    <definedName name="fff">#REF!</definedName>
    <definedName name="ffffff">#REF!</definedName>
    <definedName name="GFFG">'[1]Tx média'!$A$3</definedName>
    <definedName name="gg" localSheetId="16">#REF!</definedName>
    <definedName name="gg" localSheetId="1">#REF!</definedName>
    <definedName name="gg">#REF!</definedName>
    <definedName name="GGGG">#REF!</definedName>
    <definedName name="indic_ITRM" localSheetId="16">#REF!</definedName>
    <definedName name="indic_ITRM" localSheetId="1">#REF!</definedName>
    <definedName name="indic_ITRM">#REF!</definedName>
    <definedName name="Indic_TransRodoviario" localSheetId="16">#REF!</definedName>
    <definedName name="Indic_TransRodoviario" localSheetId="1">#REF!</definedName>
    <definedName name="Indic_TransRodoviario">#REF!</definedName>
    <definedName name="Indic_VáriosPerfGéneroSaúde" localSheetId="16">#REF!</definedName>
    <definedName name="Indic_VáriosPerfGéneroSaúde" localSheetId="1">#REF!</definedName>
    <definedName name="Indic_VáriosPerfGéneroSaúde">#REF!</definedName>
    <definedName name="IR_PARA" localSheetId="16">#REF!</definedName>
    <definedName name="IR_PARA" localSheetId="1">#REF!</definedName>
    <definedName name="IR_PARA">#REF!</definedName>
    <definedName name="Ir_para2" localSheetId="16">#REF!</definedName>
    <definedName name="Ir_para2" localSheetId="1">#REF!</definedName>
    <definedName name="Ir_para2">#REF!</definedName>
    <definedName name="jjj">#REF!</definedName>
    <definedName name="k" localSheetId="16">#REF!</definedName>
    <definedName name="k" localSheetId="1">#REF!</definedName>
    <definedName name="k">#REF!</definedName>
    <definedName name="mmmm" localSheetId="16">#REF!</definedName>
    <definedName name="mmmm" localSheetId="1">#REF!</definedName>
    <definedName name="mmmm">#REF!</definedName>
    <definedName name="nnn" localSheetId="16">#REF!</definedName>
    <definedName name="nnn" localSheetId="1">#REF!</definedName>
    <definedName name="nnn">#REF!</definedName>
    <definedName name="NUTS98" localSheetId="16">#REF!</definedName>
    <definedName name="NUTS98" localSheetId="1">#REF!</definedName>
    <definedName name="NUTS98">#REF!</definedName>
    <definedName name="Pag_1" localSheetId="16">#REF!</definedName>
    <definedName name="Pag_1" localSheetId="1">#REF!</definedName>
    <definedName name="Pag_1">#REF!</definedName>
    <definedName name="Print_Area_MI" localSheetId="16">#REF!</definedName>
    <definedName name="Print_Area_MI" localSheetId="1">#REF!</definedName>
    <definedName name="Print_Area_MI">#REF!</definedName>
    <definedName name="Print_area_MI1" localSheetId="16">#REF!</definedName>
    <definedName name="Print_area_MI1" localSheetId="1">#REF!</definedName>
    <definedName name="Print_area_MI1">#REF!</definedName>
    <definedName name="QP_QC_1999" localSheetId="16">#REF!</definedName>
    <definedName name="QP_QC_1999" localSheetId="1">#REF!</definedName>
    <definedName name="QP_QC_1999">#REF!</definedName>
    <definedName name="QQ" localSheetId="16">#REF!</definedName>
    <definedName name="QQ" localSheetId="1">#REF!</definedName>
    <definedName name="QQ">#REF!</definedName>
    <definedName name="QQQ" localSheetId="16">#REF!</definedName>
    <definedName name="QQQ" localSheetId="1">#REF!</definedName>
    <definedName name="QQQ">#REF!</definedName>
    <definedName name="Quadro_a1" localSheetId="16">#REF!</definedName>
    <definedName name="Quadro_a1" localSheetId="1">#REF!</definedName>
    <definedName name="Quadro_a1">#REF!</definedName>
    <definedName name="Quadro_a2" localSheetId="16">#REF!</definedName>
    <definedName name="Quadro_a2" localSheetId="1">#REF!</definedName>
    <definedName name="Quadro_a2">#REF!</definedName>
    <definedName name="Quadro_b1" localSheetId="16">#REF!</definedName>
    <definedName name="Quadro_b1">#REF!</definedName>
    <definedName name="Quadro_b2" localSheetId="16">#REF!</definedName>
    <definedName name="Quadro_b2">#REF!</definedName>
    <definedName name="Quadro_III.17___Parque_de_veículos_rodoviários_motorizados_presumivelmente_em_circulação__segundo_o_tipo_de_veículo" localSheetId="16">#REF!</definedName>
    <definedName name="Quadro_III.17___Parque_de_veículos_rodoviários_motorizados_presumivelmente_em_circulação__segundo_o_tipo_de_veículo" localSheetId="1">#REF!</definedName>
    <definedName name="Quadro_III.17___Parque_de_veículos_rodoviários_motorizados_presumivelmente_em_circulação__segundo_o_tipo_de_veículo">#REF!</definedName>
    <definedName name="Query1" localSheetId="16">#REF!</definedName>
    <definedName name="Query1" localSheetId="1">#REF!</definedName>
    <definedName name="Query1">#REF!</definedName>
    <definedName name="Query2" localSheetId="16">#REF!</definedName>
    <definedName name="Query2" localSheetId="1">#REF!</definedName>
    <definedName name="Query2">#REF!</definedName>
    <definedName name="query3" localSheetId="16">#REF!</definedName>
    <definedName name="query3" localSheetId="1">#REF!</definedName>
    <definedName name="query3">#REF!</definedName>
    <definedName name="rr" localSheetId="16">#REF!</definedName>
    <definedName name="rr" localSheetId="1">#REF!</definedName>
    <definedName name="rr">#REF!</definedName>
    <definedName name="SPSS" localSheetId="16">#REF!</definedName>
    <definedName name="SPSS" localSheetId="1">#REF!</definedName>
    <definedName name="SPSS">#REF!</definedName>
    <definedName name="Tit_1" localSheetId="16">#REF!</definedName>
    <definedName name="Tit_1" localSheetId="1">#REF!</definedName>
    <definedName name="Tit_1">#REF!</definedName>
    <definedName name="Tit_2" localSheetId="16">#REF!</definedName>
    <definedName name="Tit_2" localSheetId="1">#REF!</definedName>
    <definedName name="Tit_2">#REF!</definedName>
    <definedName name="Tit_3" localSheetId="16">#REF!</definedName>
    <definedName name="Tit_3" localSheetId="1">#REF!</definedName>
    <definedName name="Tit_3">#REF!</definedName>
    <definedName name="Tit_4" localSheetId="16">#REF!</definedName>
    <definedName name="Tit_4" localSheetId="1">#REF!</definedName>
    <definedName name="Tit_4">#REF!</definedName>
    <definedName name="Tit_5" localSheetId="16">#REF!</definedName>
    <definedName name="Tit_5" localSheetId="1">#REF!</definedName>
    <definedName name="Tit_5">#REF!</definedName>
    <definedName name="Titulo" localSheetId="16">#REF!</definedName>
    <definedName name="Titulo" localSheetId="1">#REF!</definedName>
    <definedName name="Titulo">#REF!</definedName>
    <definedName name="Todo" localSheetId="16">#REF!</definedName>
    <definedName name="Todo" localSheetId="1">#REF!</definedName>
    <definedName name="Todo">#REF!</definedName>
    <definedName name="Total_Receita_por_concelho" localSheetId="16">#REF!</definedName>
    <definedName name="Total_Receita_por_concelho" localSheetId="1">#REF!</definedName>
    <definedName name="Total_Receita_por_concelho">#REF!</definedName>
    <definedName name="tt" localSheetId="16">#REF!</definedName>
    <definedName name="tt" localSheetId="1">#REF!</definedName>
    <definedName name="tt">#REF!</definedName>
    <definedName name="Tudo" localSheetId="16">#REF!</definedName>
    <definedName name="Tudo" localSheetId="1">#REF!</definedName>
    <definedName name="Tudo">#REF!</definedName>
    <definedName name="vsdv" localSheetId="16">#REF!</definedName>
    <definedName name="vsdv" localSheetId="1">#REF!</definedName>
    <definedName name="vsdv">#REF!</definedName>
    <definedName name="wefqwer" localSheetId="16">#REF!</definedName>
    <definedName name="wefqwer" localSheetId="1">#REF!</definedName>
    <definedName name="wefqwer">#REF!</definedName>
    <definedName name="wqdswe" localSheetId="16">#REF!</definedName>
    <definedName name="wqdswe" localSheetId="1">#REF!</definedName>
    <definedName name="wqdswe">#REF!</definedName>
    <definedName name="ww" localSheetId="16">#REF!</definedName>
    <definedName name="ww" localSheetId="1">#REF!</definedName>
    <definedName name="ww">#REF!</definedName>
    <definedName name="xx" localSheetId="16">#REF!</definedName>
    <definedName name="xx" localSheetId="1">#REF!</definedName>
    <definedName name="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8" l="1"/>
  <c r="M11" i="9" l="1"/>
  <c r="D11" i="9"/>
  <c r="B14" i="9"/>
  <c r="C14" i="9"/>
  <c r="L31" i="6"/>
  <c r="K31" i="6"/>
  <c r="L30" i="6"/>
  <c r="K30" i="6"/>
  <c r="L29" i="6"/>
  <c r="K29" i="6"/>
  <c r="L28" i="6"/>
  <c r="K28" i="6"/>
  <c r="I31" i="6"/>
  <c r="H31" i="6"/>
  <c r="I30" i="6"/>
  <c r="H30" i="6"/>
  <c r="I29" i="6"/>
  <c r="H29" i="6"/>
  <c r="I28" i="6"/>
  <c r="H28" i="6"/>
  <c r="F31" i="6"/>
  <c r="E31" i="6"/>
  <c r="F30" i="6"/>
  <c r="E30" i="6"/>
  <c r="F29" i="6"/>
  <c r="E29" i="6"/>
  <c r="F28" i="6"/>
  <c r="E28" i="6"/>
  <c r="C31" i="6"/>
  <c r="B31" i="6"/>
  <c r="C30" i="6"/>
  <c r="B30" i="6"/>
  <c r="C29" i="6"/>
  <c r="B29" i="6"/>
  <c r="C28" i="6"/>
  <c r="B28" i="6"/>
  <c r="N7" i="12"/>
  <c r="O7" i="12"/>
  <c r="P7" i="12"/>
  <c r="N8" i="12"/>
  <c r="O8" i="12"/>
  <c r="P8" i="12"/>
  <c r="N9" i="12"/>
  <c r="O9" i="12"/>
  <c r="P9" i="12"/>
  <c r="N10" i="12"/>
  <c r="O10" i="12"/>
  <c r="P10" i="12"/>
  <c r="N11" i="12"/>
  <c r="O11" i="12"/>
  <c r="P11" i="12"/>
  <c r="N12" i="12"/>
  <c r="O12" i="12"/>
  <c r="P12" i="12"/>
  <c r="N13" i="12"/>
  <c r="O13" i="12"/>
  <c r="P13" i="12"/>
  <c r="P6" i="12"/>
  <c r="O6" i="12"/>
  <c r="N6" i="12"/>
  <c r="L15" i="6"/>
  <c r="M15" i="6"/>
  <c r="K15" i="6"/>
  <c r="J15" i="6"/>
  <c r="I15" i="6"/>
  <c r="H15" i="6"/>
  <c r="G15" i="6"/>
  <c r="F15" i="6"/>
  <c r="E15" i="6"/>
  <c r="D15" i="6"/>
  <c r="C15" i="6"/>
  <c r="B15" i="6"/>
  <c r="F15" i="20"/>
  <c r="E15" i="20"/>
  <c r="K7" i="16"/>
  <c r="L7" i="16"/>
  <c r="M7" i="16"/>
  <c r="K8" i="16"/>
  <c r="L8" i="16"/>
  <c r="M8" i="16"/>
  <c r="K9" i="16"/>
  <c r="L9" i="16"/>
  <c r="M9" i="16"/>
  <c r="K10" i="16"/>
  <c r="L10" i="16"/>
  <c r="M10" i="16"/>
  <c r="K11" i="16"/>
  <c r="L11" i="16"/>
  <c r="M11" i="16"/>
  <c r="K12" i="16"/>
  <c r="L12" i="16"/>
  <c r="M12" i="16"/>
  <c r="K13" i="16"/>
  <c r="L13" i="16"/>
  <c r="M13" i="16"/>
  <c r="L6" i="16"/>
  <c r="M6" i="16"/>
  <c r="K6" i="16"/>
  <c r="C28" i="16"/>
  <c r="G21" i="13"/>
  <c r="G14" i="13"/>
  <c r="N6" i="10"/>
  <c r="O6" i="10"/>
  <c r="P6" i="10"/>
  <c r="N7" i="10"/>
  <c r="O7" i="10"/>
  <c r="P7" i="10"/>
  <c r="N8" i="10"/>
  <c r="O8" i="10"/>
  <c r="P8" i="10"/>
  <c r="P6" i="11"/>
  <c r="P7" i="11"/>
  <c r="O6" i="11"/>
  <c r="O7" i="11"/>
  <c r="N6" i="11"/>
  <c r="N7" i="11"/>
  <c r="K25" i="6"/>
  <c r="L25" i="6"/>
  <c r="K26" i="6"/>
  <c r="L26" i="6"/>
  <c r="K27" i="6"/>
  <c r="L27" i="6"/>
  <c r="H25" i="6"/>
  <c r="I25" i="6"/>
  <c r="H26" i="6"/>
  <c r="I26" i="6"/>
  <c r="H27" i="6"/>
  <c r="I27" i="6"/>
  <c r="E25" i="6"/>
  <c r="F25" i="6"/>
  <c r="E26" i="6"/>
  <c r="F26" i="6"/>
  <c r="E27" i="6"/>
  <c r="F27" i="6"/>
  <c r="B25" i="6"/>
  <c r="C25" i="6"/>
  <c r="B26" i="6"/>
  <c r="C26" i="6"/>
  <c r="B27" i="6"/>
  <c r="C27" i="6"/>
  <c r="G7" i="1"/>
  <c r="B52" i="30"/>
  <c r="B51" i="30"/>
  <c r="B47" i="30"/>
  <c r="B46" i="30"/>
  <c r="B45" i="30"/>
  <c r="B44" i="30"/>
  <c r="B43" i="30"/>
  <c r="B42" i="30"/>
  <c r="B35" i="30"/>
  <c r="B34" i="30"/>
  <c r="B33" i="30"/>
  <c r="B32" i="30"/>
  <c r="B31" i="30"/>
  <c r="B30" i="30"/>
  <c r="B29" i="30"/>
  <c r="B28" i="30"/>
  <c r="B27" i="30"/>
  <c r="B26" i="30"/>
  <c r="B25" i="30"/>
  <c r="B24" i="30"/>
  <c r="B23" i="30"/>
  <c r="B22" i="30"/>
  <c r="B21" i="30"/>
  <c r="B20" i="30"/>
  <c r="B19" i="30"/>
  <c r="B18" i="30"/>
  <c r="B17" i="30"/>
  <c r="B13" i="30"/>
  <c r="B12" i="30"/>
  <c r="L26" i="13"/>
  <c r="K26" i="13"/>
  <c r="I26" i="13"/>
  <c r="H26" i="13"/>
  <c r="F26" i="13"/>
  <c r="E26" i="13"/>
  <c r="C26" i="13"/>
  <c r="B26" i="13"/>
  <c r="M24" i="13"/>
  <c r="M25" i="13"/>
  <c r="J24" i="13"/>
  <c r="J25" i="13"/>
  <c r="G24" i="13"/>
  <c r="G25" i="13"/>
  <c r="D24" i="13"/>
  <c r="D25" i="13"/>
  <c r="D6" i="19" l="1"/>
  <c r="D7" i="19"/>
  <c r="D8" i="19"/>
  <c r="D9" i="19"/>
  <c r="D10" i="19"/>
  <c r="D11" i="19"/>
  <c r="D12" i="19"/>
  <c r="D13" i="19"/>
  <c r="H14" i="20"/>
  <c r="G13" i="20"/>
  <c r="D13" i="20"/>
  <c r="J6" i="18"/>
  <c r="J7" i="18"/>
  <c r="J8" i="18"/>
  <c r="J9" i="18"/>
  <c r="G6" i="18"/>
  <c r="G7" i="18"/>
  <c r="G8" i="18"/>
  <c r="G9" i="18"/>
  <c r="D6" i="18"/>
  <c r="D7" i="18"/>
  <c r="D8" i="18"/>
  <c r="D9" i="18"/>
  <c r="J6" i="17"/>
  <c r="J7" i="17"/>
  <c r="J8" i="17"/>
  <c r="J9" i="17"/>
  <c r="G6" i="17"/>
  <c r="G7" i="17"/>
  <c r="G8" i="17"/>
  <c r="G9" i="17"/>
  <c r="D8" i="17"/>
  <c r="D9" i="17"/>
  <c r="D7" i="17"/>
  <c r="L6" i="24"/>
  <c r="G12" i="13"/>
  <c r="G13" i="13"/>
  <c r="G9" i="9"/>
  <c r="J12" i="9"/>
  <c r="J13" i="9"/>
  <c r="H15" i="5"/>
  <c r="G15" i="5"/>
  <c r="F15" i="5"/>
  <c r="D15" i="5"/>
  <c r="C15" i="5"/>
  <c r="B15" i="5"/>
  <c r="I11" i="5"/>
  <c r="E11" i="5"/>
  <c r="D7" i="20"/>
  <c r="G7" i="20"/>
  <c r="H8" i="20"/>
  <c r="D9" i="20"/>
  <c r="G9" i="20"/>
  <c r="H10" i="20"/>
  <c r="D11" i="20"/>
  <c r="G11" i="20"/>
  <c r="H12" i="20"/>
  <c r="I12" i="5" l="1"/>
  <c r="I15" i="5" s="1"/>
  <c r="E12" i="5"/>
  <c r="E15" i="5" s="1"/>
  <c r="C14" i="5"/>
  <c r="D14" i="5"/>
  <c r="F14" i="5"/>
  <c r="G14" i="5"/>
  <c r="H14" i="5"/>
  <c r="B14" i="5"/>
  <c r="C13" i="5"/>
  <c r="D13" i="5"/>
  <c r="F13" i="5"/>
  <c r="G13" i="5"/>
  <c r="H13" i="5"/>
  <c r="B13" i="5"/>
  <c r="I5" i="5" l="1"/>
  <c r="I13" i="5" s="1"/>
  <c r="E5" i="5"/>
  <c r="E13" i="5" s="1"/>
  <c r="A4" i="22"/>
  <c r="A4" i="21"/>
  <c r="A4" i="20"/>
  <c r="A4" i="19"/>
  <c r="A4" i="18"/>
  <c r="A4" i="17"/>
  <c r="A19" i="16"/>
  <c r="A4" i="16"/>
  <c r="A4" i="15"/>
  <c r="A13" i="14"/>
  <c r="A4" i="14"/>
  <c r="A4" i="13"/>
  <c r="A19" i="12"/>
  <c r="A4" i="12"/>
  <c r="A12" i="11"/>
  <c r="A4" i="11"/>
  <c r="A13" i="10"/>
  <c r="A4" i="10"/>
  <c r="A4" i="9"/>
  <c r="A4" i="8"/>
  <c r="A4" i="7"/>
  <c r="A4" i="4"/>
  <c r="G8" i="9" l="1"/>
  <c r="I29" i="16"/>
  <c r="H29" i="16"/>
  <c r="I28" i="16"/>
  <c r="H28" i="16"/>
  <c r="I27" i="16"/>
  <c r="H27" i="16"/>
  <c r="I26" i="16"/>
  <c r="H26" i="16"/>
  <c r="I25" i="16"/>
  <c r="H25" i="16"/>
  <c r="I24" i="16"/>
  <c r="H24" i="16"/>
  <c r="I23" i="16"/>
  <c r="H23" i="16"/>
  <c r="I22" i="16"/>
  <c r="H22" i="16"/>
  <c r="F29" i="16"/>
  <c r="E29" i="16"/>
  <c r="F28" i="16"/>
  <c r="E28" i="16"/>
  <c r="F27" i="16"/>
  <c r="E27" i="16"/>
  <c r="F26" i="16"/>
  <c r="E26" i="16"/>
  <c r="F25" i="16"/>
  <c r="E25" i="16"/>
  <c r="F24" i="16"/>
  <c r="E24" i="16"/>
  <c r="F23" i="16"/>
  <c r="E23" i="16"/>
  <c r="F22" i="16"/>
  <c r="E22" i="16"/>
  <c r="C23" i="16"/>
  <c r="C24" i="16"/>
  <c r="C25" i="16"/>
  <c r="C26" i="16"/>
  <c r="C27" i="16"/>
  <c r="C29" i="16"/>
  <c r="C22" i="16"/>
  <c r="B23" i="16"/>
  <c r="B24" i="16"/>
  <c r="B25" i="16"/>
  <c r="B26" i="16"/>
  <c r="B27" i="16"/>
  <c r="B28" i="16"/>
  <c r="B29" i="16"/>
  <c r="B22" i="16"/>
  <c r="I18" i="14"/>
  <c r="H18" i="14"/>
  <c r="I17" i="14"/>
  <c r="H17" i="14"/>
  <c r="I16" i="14"/>
  <c r="H16" i="14"/>
  <c r="F18" i="14"/>
  <c r="E18" i="14"/>
  <c r="F17" i="14"/>
  <c r="E17" i="14"/>
  <c r="F16" i="14"/>
  <c r="E16" i="14"/>
  <c r="C17" i="14"/>
  <c r="C18" i="14"/>
  <c r="C16" i="14"/>
  <c r="B17" i="14"/>
  <c r="B18" i="14"/>
  <c r="B16" i="14"/>
  <c r="L29" i="12"/>
  <c r="K29" i="12"/>
  <c r="L28" i="12"/>
  <c r="K28" i="12"/>
  <c r="L27" i="12"/>
  <c r="K27" i="12"/>
  <c r="L26" i="12"/>
  <c r="K26" i="12"/>
  <c r="L25" i="12"/>
  <c r="K25" i="12"/>
  <c r="L24" i="12"/>
  <c r="K24" i="12"/>
  <c r="L23" i="12"/>
  <c r="K23" i="12"/>
  <c r="L22" i="12"/>
  <c r="K22" i="12"/>
  <c r="I29" i="12"/>
  <c r="H29" i="12"/>
  <c r="I28" i="12"/>
  <c r="H28" i="12"/>
  <c r="I27" i="12"/>
  <c r="H27" i="12"/>
  <c r="I26" i="12"/>
  <c r="H26" i="12"/>
  <c r="I25" i="12"/>
  <c r="H25" i="12"/>
  <c r="I24" i="12"/>
  <c r="H24" i="12"/>
  <c r="I23" i="12"/>
  <c r="H23" i="12"/>
  <c r="I22" i="12"/>
  <c r="H22" i="12"/>
  <c r="F29" i="12"/>
  <c r="E29" i="12"/>
  <c r="E28" i="12"/>
  <c r="F27" i="12"/>
  <c r="E27" i="12"/>
  <c r="F26" i="12"/>
  <c r="E26" i="12"/>
  <c r="F25" i="12"/>
  <c r="E25" i="12"/>
  <c r="F24" i="12"/>
  <c r="E24" i="12"/>
  <c r="F23" i="12"/>
  <c r="E23" i="12"/>
  <c r="F22" i="12"/>
  <c r="E22" i="12"/>
  <c r="C23" i="12"/>
  <c r="C24" i="12"/>
  <c r="C25" i="12"/>
  <c r="C26" i="12"/>
  <c r="C27" i="12"/>
  <c r="C28" i="12"/>
  <c r="C29" i="12"/>
  <c r="C22" i="12"/>
  <c r="B23" i="12"/>
  <c r="B24" i="12"/>
  <c r="B25" i="12"/>
  <c r="B26" i="12"/>
  <c r="B27" i="12"/>
  <c r="B28" i="12"/>
  <c r="B29" i="12"/>
  <c r="B22" i="12"/>
  <c r="L16" i="11"/>
  <c r="K16" i="11"/>
  <c r="L15" i="11"/>
  <c r="K15" i="11"/>
  <c r="I16" i="11"/>
  <c r="H16" i="11"/>
  <c r="I15" i="11"/>
  <c r="H15" i="11"/>
  <c r="F16" i="11"/>
  <c r="E16" i="11"/>
  <c r="F15" i="11"/>
  <c r="E15" i="11"/>
  <c r="C16" i="11"/>
  <c r="C15" i="11"/>
  <c r="B16" i="11"/>
  <c r="B15" i="11"/>
  <c r="L18" i="10"/>
  <c r="K18" i="10"/>
  <c r="L17" i="10"/>
  <c r="K17" i="10"/>
  <c r="L16" i="10"/>
  <c r="K16" i="10"/>
  <c r="I18" i="10"/>
  <c r="H18" i="10"/>
  <c r="I17" i="10"/>
  <c r="H17" i="10"/>
  <c r="I16" i="10"/>
  <c r="H16" i="10"/>
  <c r="F18" i="10"/>
  <c r="E18" i="10"/>
  <c r="F17" i="10"/>
  <c r="E17" i="10"/>
  <c r="F16" i="10"/>
  <c r="E16" i="10"/>
  <c r="C17" i="10"/>
  <c r="C18" i="10"/>
  <c r="C16" i="10"/>
  <c r="B17" i="10"/>
  <c r="B18" i="10"/>
  <c r="B16" i="10"/>
  <c r="K23" i="6"/>
  <c r="L23" i="6"/>
  <c r="K24" i="6"/>
  <c r="L24" i="6"/>
  <c r="H23" i="6"/>
  <c r="I23" i="6"/>
  <c r="H24" i="6"/>
  <c r="I24" i="6"/>
  <c r="L22" i="6"/>
  <c r="K22" i="6"/>
  <c r="I22" i="6"/>
  <c r="H22" i="6"/>
  <c r="E23" i="6"/>
  <c r="F23" i="6"/>
  <c r="E24" i="6"/>
  <c r="F24" i="6"/>
  <c r="F22" i="6"/>
  <c r="E22" i="6"/>
  <c r="C23" i="6"/>
  <c r="C24" i="6"/>
  <c r="C22" i="6"/>
  <c r="B23" i="6"/>
  <c r="B24" i="6"/>
  <c r="B22" i="6"/>
  <c r="N16" i="11" l="1"/>
  <c r="O16" i="11"/>
  <c r="N15" i="11"/>
  <c r="O15" i="11"/>
  <c r="O17" i="10" l="1"/>
  <c r="N17" i="10"/>
  <c r="N16" i="10"/>
  <c r="O16" i="10"/>
  <c r="N18" i="10"/>
  <c r="O18" i="10"/>
  <c r="J9" i="14"/>
  <c r="G9" i="14"/>
  <c r="D9" i="14"/>
  <c r="M14" i="12"/>
  <c r="J14" i="12"/>
  <c r="G14" i="12"/>
  <c r="D14" i="12"/>
  <c r="P14" i="12" l="1"/>
  <c r="G7" i="4"/>
  <c r="E10" i="5" l="1"/>
  <c r="E9" i="5"/>
  <c r="E8" i="5"/>
  <c r="E7" i="5"/>
  <c r="E6" i="5"/>
  <c r="E14" i="5" s="1"/>
  <c r="I8" i="5" l="1"/>
  <c r="I9" i="5"/>
  <c r="I10" i="5"/>
  <c r="I6" i="5"/>
  <c r="I14" i="5" s="1"/>
  <c r="I7" i="5"/>
  <c r="N23" i="12"/>
  <c r="O23" i="12"/>
  <c r="N24" i="12"/>
  <c r="O24" i="12"/>
  <c r="N25" i="12"/>
  <c r="O25" i="12"/>
  <c r="N26" i="12"/>
  <c r="O26" i="12"/>
  <c r="N27" i="12"/>
  <c r="O27" i="12"/>
  <c r="N28" i="12"/>
  <c r="N29" i="12"/>
  <c r="O29" i="12"/>
  <c r="O22" i="12"/>
  <c r="N22" i="12"/>
  <c r="G10" i="13"/>
  <c r="G6" i="13"/>
  <c r="J9" i="9"/>
  <c r="D12" i="9"/>
  <c r="D13" i="9"/>
  <c r="G8" i="4"/>
  <c r="M12" i="9"/>
  <c r="C14" i="16" l="1"/>
  <c r="D14" i="16"/>
  <c r="E14" i="16"/>
  <c r="F14" i="16"/>
  <c r="G14" i="16"/>
  <c r="H14" i="16"/>
  <c r="I14" i="16"/>
  <c r="J14" i="16"/>
  <c r="B14" i="16"/>
  <c r="E7" i="15"/>
  <c r="E8" i="15"/>
  <c r="E9" i="15"/>
  <c r="E10" i="15"/>
  <c r="E11" i="15"/>
  <c r="E12" i="15"/>
  <c r="E6" i="15"/>
  <c r="B13" i="15"/>
  <c r="K8" i="11"/>
  <c r="L8" i="11"/>
  <c r="M8" i="11"/>
  <c r="H8" i="11"/>
  <c r="I8" i="11"/>
  <c r="J8" i="11"/>
  <c r="C8" i="11"/>
  <c r="D8" i="11"/>
  <c r="E8" i="11"/>
  <c r="F8" i="11"/>
  <c r="G8" i="11"/>
  <c r="B8" i="11"/>
  <c r="C9" i="10"/>
  <c r="D9" i="10"/>
  <c r="E9" i="10"/>
  <c r="F9" i="10"/>
  <c r="G9" i="10"/>
  <c r="H9" i="10"/>
  <c r="I9" i="10"/>
  <c r="J9" i="10"/>
  <c r="K9" i="10"/>
  <c r="L9" i="10"/>
  <c r="M9" i="10"/>
  <c r="G15" i="20"/>
  <c r="L25" i="16" l="1"/>
  <c r="K25" i="16"/>
  <c r="L29" i="16"/>
  <c r="K29" i="16"/>
  <c r="F30" i="16"/>
  <c r="E30" i="16"/>
  <c r="L28" i="16"/>
  <c r="K28" i="16"/>
  <c r="L24" i="16"/>
  <c r="K24" i="16"/>
  <c r="B30" i="16"/>
  <c r="C30" i="16"/>
  <c r="L26" i="16"/>
  <c r="K26" i="16"/>
  <c r="L27" i="16"/>
  <c r="K27" i="16"/>
  <c r="L23" i="16"/>
  <c r="K23" i="16"/>
  <c r="L22" i="16"/>
  <c r="K22" i="16"/>
  <c r="I30" i="16"/>
  <c r="H30" i="16"/>
  <c r="L17" i="11"/>
  <c r="K17" i="11"/>
  <c r="I17" i="11"/>
  <c r="H17" i="11"/>
  <c r="E17" i="11"/>
  <c r="F17" i="11"/>
  <c r="B17" i="11"/>
  <c r="C17" i="11"/>
  <c r="I19" i="10"/>
  <c r="H19" i="10"/>
  <c r="L19" i="10"/>
  <c r="K19" i="10"/>
  <c r="C19" i="10"/>
  <c r="F19" i="10"/>
  <c r="E19" i="10"/>
  <c r="N8" i="11"/>
  <c r="P8" i="11"/>
  <c r="O8" i="11"/>
  <c r="P9" i="10"/>
  <c r="O9" i="10"/>
  <c r="M14" i="16"/>
  <c r="L14" i="16"/>
  <c r="K14" i="16"/>
  <c r="B19" i="23"/>
  <c r="C9" i="22"/>
  <c r="B9" i="22"/>
  <c r="D7" i="22"/>
  <c r="D8" i="22"/>
  <c r="D6" i="22"/>
  <c r="G7" i="21"/>
  <c r="F8" i="21"/>
  <c r="E8" i="21"/>
  <c r="D7" i="21"/>
  <c r="H16" i="20"/>
  <c r="C15" i="20"/>
  <c r="B15" i="20"/>
  <c r="C14" i="19"/>
  <c r="B14" i="19"/>
  <c r="F10" i="18"/>
  <c r="E10" i="18"/>
  <c r="C10" i="18"/>
  <c r="B10" i="18"/>
  <c r="I10" i="17"/>
  <c r="H10" i="17"/>
  <c r="F10" i="17"/>
  <c r="E10" i="17"/>
  <c r="C10" i="17"/>
  <c r="B10" i="17"/>
  <c r="D13" i="15"/>
  <c r="E13" i="15" s="1"/>
  <c r="C13" i="15"/>
  <c r="F7" i="15"/>
  <c r="F8" i="15"/>
  <c r="F9" i="15"/>
  <c r="F10" i="15"/>
  <c r="F11" i="15"/>
  <c r="F12" i="15"/>
  <c r="F6" i="15"/>
  <c r="I9" i="14"/>
  <c r="I19" i="14" s="1"/>
  <c r="H9" i="14"/>
  <c r="H19" i="14" s="1"/>
  <c r="F9" i="14"/>
  <c r="F19" i="14" s="1"/>
  <c r="E9" i="14"/>
  <c r="E19" i="14" s="1"/>
  <c r="C9" i="14"/>
  <c r="C19" i="14" s="1"/>
  <c r="B9" i="14"/>
  <c r="B19" i="14" s="1"/>
  <c r="M7" i="13"/>
  <c r="M8" i="13"/>
  <c r="M9" i="13"/>
  <c r="M10" i="13"/>
  <c r="M11" i="13"/>
  <c r="M12" i="13"/>
  <c r="M13" i="13"/>
  <c r="M14" i="13"/>
  <c r="M15" i="13"/>
  <c r="M16" i="13"/>
  <c r="M17" i="13"/>
  <c r="M18" i="13"/>
  <c r="M19" i="13"/>
  <c r="M20" i="13"/>
  <c r="M21" i="13"/>
  <c r="M22" i="13"/>
  <c r="M23" i="13"/>
  <c r="J7" i="13"/>
  <c r="J8" i="13"/>
  <c r="J9" i="13"/>
  <c r="J10" i="13"/>
  <c r="J11" i="13"/>
  <c r="J12" i="13"/>
  <c r="J13" i="13"/>
  <c r="J14" i="13"/>
  <c r="J15" i="13"/>
  <c r="J16" i="13"/>
  <c r="J17" i="13"/>
  <c r="J18" i="13"/>
  <c r="J19" i="13"/>
  <c r="J20" i="13"/>
  <c r="J21" i="13"/>
  <c r="J22" i="13"/>
  <c r="J23" i="13"/>
  <c r="G7" i="13"/>
  <c r="G8" i="13"/>
  <c r="G9" i="13"/>
  <c r="G11" i="13"/>
  <c r="G15" i="13"/>
  <c r="G16" i="13"/>
  <c r="G17" i="13"/>
  <c r="G18" i="13"/>
  <c r="G19" i="13"/>
  <c r="G20" i="13"/>
  <c r="G22" i="13"/>
  <c r="G23" i="13"/>
  <c r="D7" i="13"/>
  <c r="D8" i="13"/>
  <c r="D9" i="13"/>
  <c r="D10" i="13"/>
  <c r="D11" i="13"/>
  <c r="D12" i="13"/>
  <c r="D13" i="13"/>
  <c r="D14" i="13"/>
  <c r="D15" i="13"/>
  <c r="D16" i="13"/>
  <c r="D17" i="13"/>
  <c r="D18" i="13"/>
  <c r="D19" i="13"/>
  <c r="D20" i="13"/>
  <c r="D21" i="13"/>
  <c r="D22" i="13"/>
  <c r="D23" i="13"/>
  <c r="M6" i="13"/>
  <c r="J6" i="13"/>
  <c r="D6" i="13"/>
  <c r="L14" i="12"/>
  <c r="L30" i="12" s="1"/>
  <c r="K14" i="12"/>
  <c r="K30" i="12" s="1"/>
  <c r="I14" i="12"/>
  <c r="I30" i="12" s="1"/>
  <c r="H14" i="12"/>
  <c r="H30" i="12" s="1"/>
  <c r="F14" i="12"/>
  <c r="F30" i="12" s="1"/>
  <c r="E14" i="12"/>
  <c r="E30" i="12" s="1"/>
  <c r="C14" i="12"/>
  <c r="C30" i="12" s="1"/>
  <c r="B14" i="12"/>
  <c r="B30" i="12" s="1"/>
  <c r="B9" i="10"/>
  <c r="N9" i="10" s="1"/>
  <c r="L14" i="9"/>
  <c r="K14" i="9"/>
  <c r="I14" i="9"/>
  <c r="H14" i="9"/>
  <c r="F14" i="9"/>
  <c r="E14" i="9"/>
  <c r="M7" i="9"/>
  <c r="M8" i="9"/>
  <c r="M9" i="9"/>
  <c r="M10" i="9"/>
  <c r="M13" i="9"/>
  <c r="J7" i="9"/>
  <c r="J8" i="9"/>
  <c r="G7" i="9"/>
  <c r="D7" i="9"/>
  <c r="D8" i="9"/>
  <c r="D9" i="9"/>
  <c r="D10" i="9"/>
  <c r="M6" i="9"/>
  <c r="J6" i="9"/>
  <c r="G6" i="9"/>
  <c r="D6" i="9"/>
  <c r="L14" i="8"/>
  <c r="K14" i="8"/>
  <c r="I14" i="8"/>
  <c r="H14" i="8"/>
  <c r="F14" i="8"/>
  <c r="E14" i="8"/>
  <c r="C14" i="8"/>
  <c r="B14" i="8"/>
  <c r="M7" i="8"/>
  <c r="M8" i="8"/>
  <c r="M9" i="8"/>
  <c r="M10" i="8"/>
  <c r="M11" i="8"/>
  <c r="M12" i="8"/>
  <c r="M13" i="8"/>
  <c r="J7" i="8"/>
  <c r="J8" i="8"/>
  <c r="J9" i="8"/>
  <c r="J10" i="8"/>
  <c r="J11" i="8"/>
  <c r="J12" i="8"/>
  <c r="J13" i="8"/>
  <c r="G7" i="8"/>
  <c r="G8" i="8"/>
  <c r="G9" i="8"/>
  <c r="G10" i="8"/>
  <c r="G11" i="8"/>
  <c r="G12" i="8"/>
  <c r="G13" i="8"/>
  <c r="D7" i="8"/>
  <c r="D8" i="8"/>
  <c r="D9" i="8"/>
  <c r="D10" i="8"/>
  <c r="D11" i="8"/>
  <c r="D12" i="8"/>
  <c r="D13" i="8"/>
  <c r="M6" i="8"/>
  <c r="J6" i="8"/>
  <c r="G6" i="8"/>
  <c r="D6" i="8"/>
  <c r="L13" i="7"/>
  <c r="K13" i="7"/>
  <c r="I13" i="7"/>
  <c r="H13" i="7"/>
  <c r="F13" i="7"/>
  <c r="E13" i="7"/>
  <c r="C13" i="7"/>
  <c r="B13" i="7"/>
  <c r="M7" i="7"/>
  <c r="M8" i="7"/>
  <c r="M9" i="7"/>
  <c r="M10" i="7"/>
  <c r="M11" i="7"/>
  <c r="M12" i="7"/>
  <c r="J7" i="7"/>
  <c r="J8" i="7"/>
  <c r="J9" i="7"/>
  <c r="J10" i="7"/>
  <c r="J11" i="7"/>
  <c r="J12" i="7"/>
  <c r="G7" i="7"/>
  <c r="G8" i="7"/>
  <c r="G9" i="7"/>
  <c r="G10" i="7"/>
  <c r="G11" i="7"/>
  <c r="G12" i="7"/>
  <c r="D7" i="7"/>
  <c r="D8" i="7"/>
  <c r="D9" i="7"/>
  <c r="D10" i="7"/>
  <c r="D11" i="7"/>
  <c r="D12" i="7"/>
  <c r="M6" i="7"/>
  <c r="J6" i="7"/>
  <c r="G6" i="7"/>
  <c r="D6" i="7"/>
  <c r="L9" i="4"/>
  <c r="K9" i="4"/>
  <c r="I9" i="4"/>
  <c r="H9" i="4"/>
  <c r="F9" i="4"/>
  <c r="E9" i="4"/>
  <c r="C9" i="4"/>
  <c r="B9" i="4"/>
  <c r="M7" i="4"/>
  <c r="M8" i="4"/>
  <c r="J7" i="4"/>
  <c r="J8" i="4"/>
  <c r="M6" i="4"/>
  <c r="J6" i="4"/>
  <c r="G6" i="4"/>
  <c r="D7" i="4"/>
  <c r="D8" i="4"/>
  <c r="D6" i="4"/>
  <c r="L9" i="1"/>
  <c r="K9" i="1"/>
  <c r="I9" i="1"/>
  <c r="H9" i="1"/>
  <c r="F9" i="1"/>
  <c r="E9" i="1"/>
  <c r="C9" i="1"/>
  <c r="B9" i="1"/>
  <c r="M7" i="1"/>
  <c r="M8" i="1"/>
  <c r="M6" i="1"/>
  <c r="J7" i="1"/>
  <c r="J8" i="1"/>
  <c r="J6" i="1"/>
  <c r="G8" i="1"/>
  <c r="G6" i="1"/>
  <c r="D7" i="1"/>
  <c r="D8" i="1"/>
  <c r="D6" i="1"/>
  <c r="M9" i="1" l="1"/>
  <c r="L30" i="16"/>
  <c r="K30" i="16"/>
  <c r="N17" i="11"/>
  <c r="O17" i="11"/>
  <c r="B19" i="10"/>
  <c r="N19" i="10"/>
  <c r="O19" i="10"/>
  <c r="M26" i="13"/>
  <c r="H8" i="21"/>
  <c r="D14" i="19"/>
  <c r="M14" i="8"/>
  <c r="O14" i="12"/>
  <c r="O30" i="12" s="1"/>
  <c r="D26" i="13"/>
  <c r="N14" i="12"/>
  <c r="N30" i="12" s="1"/>
  <c r="J14" i="9"/>
  <c r="G9" i="1"/>
  <c r="D9" i="1"/>
  <c r="D10" i="18"/>
  <c r="D10" i="17"/>
  <c r="M14" i="9"/>
  <c r="D9" i="22"/>
  <c r="J9" i="1"/>
  <c r="G10" i="17"/>
  <c r="J26" i="13"/>
  <c r="G26" i="13"/>
  <c r="J14" i="8"/>
  <c r="D15" i="20"/>
  <c r="G10" i="18"/>
  <c r="J10" i="17"/>
  <c r="F13" i="15"/>
  <c r="G14" i="9"/>
  <c r="D14" i="9"/>
  <c r="G14" i="8"/>
  <c r="D14" i="8"/>
  <c r="M13" i="7"/>
  <c r="J13" i="7"/>
  <c r="G13" i="7"/>
  <c r="D13" i="7"/>
  <c r="M9" i="4"/>
  <c r="J9" i="4"/>
  <c r="G9" i="4"/>
  <c r="D9" i="4"/>
</calcChain>
</file>

<file path=xl/sharedStrings.xml><?xml version="1.0" encoding="utf-8"?>
<sst xmlns="http://schemas.openxmlformats.org/spreadsheetml/2006/main" count="544" uniqueCount="239">
  <si>
    <t>1 - Sinistralidade em Portugal</t>
  </si>
  <si>
    <t>2 - Sinistralidade no Continente</t>
  </si>
  <si>
    <t>CAPÍTULO II - Fiscalização</t>
  </si>
  <si>
    <t>1 - Fiscalização ANSR, GNR, PSP e PML</t>
  </si>
  <si>
    <t>CAPÍTULO III - Processo Contraordenacional</t>
  </si>
  <si>
    <t>SIGLAS e  ABREVIATURAS</t>
  </si>
  <si>
    <t>AcV</t>
  </si>
  <si>
    <t>Acidente com vítimas</t>
  </si>
  <si>
    <t>AcVM</t>
  </si>
  <si>
    <t>Acidente com vítimas mortais</t>
  </si>
  <si>
    <t>AcFG</t>
  </si>
  <si>
    <t>Acidente com feridos graves</t>
  </si>
  <si>
    <t>AcFL</t>
  </si>
  <si>
    <t>Acidente com feridos leves</t>
  </si>
  <si>
    <t>ANSR</t>
  </si>
  <si>
    <t>Autoridade Nacional de Segurança Rodoviária</t>
  </si>
  <si>
    <t>BEAV</t>
  </si>
  <si>
    <t>Boletim Estatístico de Acidente de Viação</t>
  </si>
  <si>
    <t>FG</t>
  </si>
  <si>
    <t>Ferido grave</t>
  </si>
  <si>
    <t>FL</t>
  </si>
  <si>
    <t>Ferido leve</t>
  </si>
  <si>
    <t>GNR</t>
  </si>
  <si>
    <t>Guarda Nacional Republicana</t>
  </si>
  <si>
    <t>IGR</t>
  </si>
  <si>
    <t>Índice de gravidade</t>
  </si>
  <si>
    <t>PML</t>
  </si>
  <si>
    <t>Polícia Municipal de Lisboa</t>
  </si>
  <si>
    <t>PSP</t>
  </si>
  <si>
    <t>Polícia de Segurança Pública</t>
  </si>
  <si>
    <t>SINCRO</t>
  </si>
  <si>
    <t>VM</t>
  </si>
  <si>
    <t>p.p.</t>
  </si>
  <si>
    <t>Pontos percentuais</t>
  </si>
  <si>
    <t>Continente</t>
  </si>
  <si>
    <t>Total</t>
  </si>
  <si>
    <t>RA Açores</t>
  </si>
  <si>
    <t>RA Madeira</t>
  </si>
  <si>
    <t>RA</t>
  </si>
  <si>
    <t>Região Autónoma</t>
  </si>
  <si>
    <t>AcVM+AcFG</t>
  </si>
  <si>
    <t>Vítimas totais</t>
  </si>
  <si>
    <t>Mês</t>
  </si>
  <si>
    <t>2.ª feira</t>
  </si>
  <si>
    <t>3.ª feira</t>
  </si>
  <si>
    <t>4.ª feira</t>
  </si>
  <si>
    <t>5.ª feira</t>
  </si>
  <si>
    <t>6.ª feira</t>
  </si>
  <si>
    <t>Sábado</t>
  </si>
  <si>
    <t>Domingo</t>
  </si>
  <si>
    <t>Janeiro</t>
  </si>
  <si>
    <t>[00:00-03:00[</t>
  </si>
  <si>
    <t>[03:00-06:00[</t>
  </si>
  <si>
    <t>[06:00-09:00[</t>
  </si>
  <si>
    <t>[09:00-12:00[</t>
  </si>
  <si>
    <t>[12:00-15:00[</t>
  </si>
  <si>
    <t>[15:00-18:00[</t>
  </si>
  <si>
    <t>[18:00-21:00[</t>
  </si>
  <si>
    <t>Bom tempo</t>
  </si>
  <si>
    <t>Chuva</t>
  </si>
  <si>
    <t>Nevoeiro</t>
  </si>
  <si>
    <t>Vento</t>
  </si>
  <si>
    <t>Neve</t>
  </si>
  <si>
    <t>Granizo</t>
  </si>
  <si>
    <t>n.d.</t>
  </si>
  <si>
    <t>Atropelamento</t>
  </si>
  <si>
    <t>Colisão</t>
  </si>
  <si>
    <t>Despiste</t>
  </si>
  <si>
    <t>Dentro das localidades</t>
  </si>
  <si>
    <t>Fora das localidades</t>
  </si>
  <si>
    <t>Outras*</t>
  </si>
  <si>
    <t>AE</t>
  </si>
  <si>
    <t>Autoestrada</t>
  </si>
  <si>
    <t>EM</t>
  </si>
  <si>
    <t>EN</t>
  </si>
  <si>
    <t>Estrada nacional</t>
  </si>
  <si>
    <t>ER</t>
  </si>
  <si>
    <t>Estrada regional</t>
  </si>
  <si>
    <t>Estrada municipal</t>
  </si>
  <si>
    <t>IC</t>
  </si>
  <si>
    <t>Itinerário Complementar</t>
  </si>
  <si>
    <t>IP</t>
  </si>
  <si>
    <t>Itinerário principal</t>
  </si>
  <si>
    <t>Aveiro</t>
  </si>
  <si>
    <t>Beja</t>
  </si>
  <si>
    <t>Braga</t>
  </si>
  <si>
    <t>Bragança</t>
  </si>
  <si>
    <t>C. Branco</t>
  </si>
  <si>
    <t>Coimbra</t>
  </si>
  <si>
    <t>Évora</t>
  </si>
  <si>
    <t>Faro</t>
  </si>
  <si>
    <t>Guarda</t>
  </si>
  <si>
    <t>Leiria</t>
  </si>
  <si>
    <t>Lisboa</t>
  </si>
  <si>
    <t>Portalegre</t>
  </si>
  <si>
    <t>Porto</t>
  </si>
  <si>
    <t>Santarém</t>
  </si>
  <si>
    <t>Setúbal</t>
  </si>
  <si>
    <t>V. Castelo</t>
  </si>
  <si>
    <t>Vila Real</t>
  </si>
  <si>
    <t>Viseu</t>
  </si>
  <si>
    <t>Condutores</t>
  </si>
  <si>
    <t>Passageiros</t>
  </si>
  <si>
    <t>Peões</t>
  </si>
  <si>
    <t>Velocípedes</t>
  </si>
  <si>
    <t>Veículos agrícolas</t>
  </si>
  <si>
    <t>N.º Condutores / Veículos fiscalizados presencialmente</t>
  </si>
  <si>
    <t>N.º Veículos fiscalizados por radar</t>
  </si>
  <si>
    <t>Total de infrações</t>
  </si>
  <si>
    <t>Taxa de infração</t>
  </si>
  <si>
    <t>Infrações</t>
  </si>
  <si>
    <t>Tipo de infração</t>
  </si>
  <si>
    <t>Velocidade</t>
  </si>
  <si>
    <t>Álcool</t>
  </si>
  <si>
    <t>Seguro</t>
  </si>
  <si>
    <t>Inspeção periódica obrigatória</t>
  </si>
  <si>
    <t>Telemóvel</t>
  </si>
  <si>
    <t>Sistemas de retenção para crianças</t>
  </si>
  <si>
    <t>Outras</t>
  </si>
  <si>
    <t>N.º de veículos fiscalizados por radar</t>
  </si>
  <si>
    <t>Influência de álcool</t>
  </si>
  <si>
    <t>Testes efetuados</t>
  </si>
  <si>
    <t>Falta de habilitação legal para condução</t>
  </si>
  <si>
    <t>Detenções</t>
  </si>
  <si>
    <t>Nº de pontos disponíveis</t>
  </si>
  <si>
    <t>Nº de condutores</t>
  </si>
  <si>
    <t>Ano</t>
  </si>
  <si>
    <t>Nº de cartas cassadas</t>
  </si>
  <si>
    <t>Sistema Nacional de Controlo de Velocidade</t>
  </si>
  <si>
    <t>Motociclos</t>
  </si>
  <si>
    <t>Ciclomotores</t>
  </si>
  <si>
    <t>Veículos Intervenientes</t>
  </si>
  <si>
    <t>-</t>
  </si>
  <si>
    <t>N.º Condutores / Veículos fiscalizados</t>
  </si>
  <si>
    <t>Veículos ligeiros</t>
  </si>
  <si>
    <t>Veículos pesados</t>
  </si>
  <si>
    <t>Outros</t>
  </si>
  <si>
    <t>Março</t>
  </si>
  <si>
    <t>Quadro 3. Evolução da Sinistralidade no Continente</t>
  </si>
  <si>
    <t>[21:00-00:00[</t>
  </si>
  <si>
    <t>Entidade fiscalizadora</t>
  </si>
  <si>
    <t>Total de vítimas</t>
  </si>
  <si>
    <t>Fevereiro</t>
  </si>
  <si>
    <t>Arruamento</t>
  </si>
  <si>
    <t xml:space="preserve">                        QUADROS DE RESULTADOS</t>
  </si>
  <si>
    <t>CAPÍTULO I - Sinistralidade a 24h</t>
  </si>
  <si>
    <t xml:space="preserve">∆ (%) </t>
  </si>
  <si>
    <t>N.º infrações
Tx. Infração</t>
  </si>
  <si>
    <t>N.º infrações</t>
  </si>
  <si>
    <t>Tx. Infração</t>
  </si>
  <si>
    <t>Vítima mortal (a 24h neste relatório)</t>
  </si>
  <si>
    <t>Total de Condutores /      Veículos fiscalizados</t>
  </si>
  <si>
    <t>Cintos de segurança</t>
  </si>
  <si>
    <t xml:space="preserve"> </t>
  </si>
  <si>
    <t>Brisa</t>
  </si>
  <si>
    <t>Ascendi</t>
  </si>
  <si>
    <t>%</t>
  </si>
  <si>
    <t>total</t>
  </si>
  <si>
    <t>Tipo de Gestão</t>
  </si>
  <si>
    <t>Entidade Gestora</t>
  </si>
  <si>
    <t>Infraestruturas Portugal</t>
  </si>
  <si>
    <t>Gestão Municipal</t>
  </si>
  <si>
    <t>N.º VM / EGV</t>
  </si>
  <si>
    <t xml:space="preserve">                        Relatório Anual de Sinistralidade (24h), Fiscalização e Contraordenações</t>
  </si>
  <si>
    <r>
      <t xml:space="preserve">PML </t>
    </r>
    <r>
      <rPr>
        <vertAlign val="superscript"/>
        <sz val="9"/>
        <rFont val="Avenir Next LT Pro"/>
        <family val="2"/>
      </rPr>
      <t>(1)</t>
    </r>
  </si>
  <si>
    <r>
      <t xml:space="preserve">Total </t>
    </r>
    <r>
      <rPr>
        <b/>
        <vertAlign val="superscript"/>
        <sz val="9"/>
        <rFont val="Avenir Next LT Pro"/>
        <family val="2"/>
      </rPr>
      <t>(2)</t>
    </r>
  </si>
  <si>
    <r>
      <t>PML</t>
    </r>
    <r>
      <rPr>
        <vertAlign val="superscript"/>
        <sz val="9"/>
        <rFont val="Avenir Next LT Pro"/>
        <family val="2"/>
      </rPr>
      <t>(1)</t>
    </r>
  </si>
  <si>
    <t>Quadro 22. Condutores e veículos fiscalizados</t>
  </si>
  <si>
    <t>Quadro 23. Infrações</t>
  </si>
  <si>
    <t>Quadro 24. Tipologia de infrações</t>
  </si>
  <si>
    <t>Outros*</t>
  </si>
  <si>
    <t>Concessão Oeste</t>
  </si>
  <si>
    <t xml:space="preserve"> * Inclui máquinas industriais, triciclos, quadriciclos, veículos de tração animal veículos sobre carris, desconhecidos e não definidos</t>
  </si>
  <si>
    <t>* Inclui acessos, estradas florestais, pontes, variantes e não definidas</t>
  </si>
  <si>
    <t>Quadro 1. Sinistralidade em Portugal, 2025 vs 2019</t>
  </si>
  <si>
    <t>∆(%) 25/19</t>
  </si>
  <si>
    <t>Quadro 2. Sinistralidade em Portugal, 2025 vs 2024</t>
  </si>
  <si>
    <t>∆(%) 25/24</t>
  </si>
  <si>
    <t>25/19</t>
  </si>
  <si>
    <t>25/24</t>
  </si>
  <si>
    <t>2025 (p)</t>
  </si>
  <si>
    <t>(1) Na PML, os veículos fiscalizados por radar fixo correspondem ao número de infrações</t>
  </si>
  <si>
    <t>(1) Na PML, os veículos fiscalizados por radar fixo correspondem ao número de infrações, pelo que a taxa de infração apenas inclui radares móveis</t>
  </si>
  <si>
    <t>(2) Taxa de infração global: sem radares fixos PML (fiscalização e infrações)</t>
  </si>
  <si>
    <t>∆(%) 25/16</t>
  </si>
  <si>
    <t>Quadro 4. Sinistralidade em Portugal por mês</t>
  </si>
  <si>
    <t>Quadro 5. Sinistralidade em Portugal por mês, taxas de variação</t>
  </si>
  <si>
    <t>Quadro 6. Sinistralidade em Portugal por dia da semana</t>
  </si>
  <si>
    <t>Quadro 7. Sinistralidade em Portugal por período horário</t>
  </si>
  <si>
    <t>Quadro 8. Sinistralidade em Portugal por fatores atmosféricos</t>
  </si>
  <si>
    <t>Quadro 9. Sinistralidade em Portugal por natureza</t>
  </si>
  <si>
    <t>Quadro 10. Sinistralidade em Portugal por natureza, taxas de variação</t>
  </si>
  <si>
    <t>Quadro 11. Sinistralidade em Portugal por localização</t>
  </si>
  <si>
    <t>Quadro 12. Sinistralidade em Portugal, taxas de variação</t>
  </si>
  <si>
    <t>Quadro 16. Sinistralidade em Portugal por categoria de utilizador</t>
  </si>
  <si>
    <t>Quadro 19. Sinistralidade em Portugal por categoria de veículo e peões</t>
  </si>
  <si>
    <t>Quadro 20. Sinistralidade em Portugal por categoria de veículo e peões, taxas de variação</t>
  </si>
  <si>
    <t>Quadro 17. Sinistralidade em Portugal por categoria de utilizador, taxas de variação</t>
  </si>
  <si>
    <t>Quadro 13. Sinistralidade em Portugal por tipo de via</t>
  </si>
  <si>
    <t>Quadro 14. Sinistralidade em Portugal por tipo de via, taxas de variação</t>
  </si>
  <si>
    <t>Quadro 15. Sinistralidade em Portugal por distrito e R. A.</t>
  </si>
  <si>
    <t>Concessão Douro Litoral</t>
  </si>
  <si>
    <t>Globalvia (Beira Interior)</t>
  </si>
  <si>
    <t>Lusoponte</t>
  </si>
  <si>
    <t>Gestão Regiões Autónomas</t>
  </si>
  <si>
    <t>Variação 2025-2019</t>
  </si>
  <si>
    <t>Abril</t>
  </si>
  <si>
    <t>Maio</t>
  </si>
  <si>
    <t>Junho</t>
  </si>
  <si>
    <t>(p) provisório</t>
  </si>
  <si>
    <t>Total 
VM</t>
  </si>
  <si>
    <t>Concessionária
da Rede Rodoviária Nacional</t>
  </si>
  <si>
    <t>Concessionárias 
do Estado</t>
  </si>
  <si>
    <t>Concessão Litoral Centro</t>
  </si>
  <si>
    <t xml:space="preserve"> - </t>
  </si>
  <si>
    <t>Palmela</t>
  </si>
  <si>
    <t>TOTAL</t>
  </si>
  <si>
    <t>Quadro 18. Veículos intervenientes em acidentes com vítimas em Portugal por categoria de veículo</t>
  </si>
  <si>
    <t>Quadro 25. Infrações por excesso de velocidade</t>
  </si>
  <si>
    <t>Quadro 26. Infrações por influência de álcool</t>
  </si>
  <si>
    <t>Quadro 27. Detenções</t>
  </si>
  <si>
    <t>Janeiro-setembro</t>
  </si>
  <si>
    <t>Julho</t>
  </si>
  <si>
    <t>Agosto</t>
  </si>
  <si>
    <t>Setembro</t>
  </si>
  <si>
    <t>Fumo</t>
  </si>
  <si>
    <t>Total VM jan a set
2019</t>
  </si>
  <si>
    <t>Quadro 21. Vítimas mortais por entidade gestora de via (EGV), resumo janeiro a setembro 2025</t>
  </si>
  <si>
    <t>Quadro 28. Número de pontos disponíveis dos condutores que se encontravam sancionados com subtração de pontos em setembro de 2025</t>
  </si>
  <si>
    <t>Quadro 29. Número de cartas cassadas, 2016 – setembro de 2025</t>
  </si>
  <si>
    <t xml:space="preserve"> -</t>
  </si>
  <si>
    <t>Concessão Norte Litoral</t>
  </si>
  <si>
    <t>Interior Norte (NorScut)</t>
  </si>
  <si>
    <t>Lisboa, Loures, Tavira</t>
  </si>
  <si>
    <t>Setembro de 2025</t>
  </si>
  <si>
    <t>Santa Maria da Feira</t>
  </si>
  <si>
    <t>Alcobaça, Faro, Guimarães, Leiria, Miranda do Corvo, Ovar, Setúbal, Sintra, Vila Nova de Famalicão</t>
  </si>
  <si>
    <t>Abrantes, Águeda, Ansião, Arouca, Baião, Bragança, Cadaval, Campo Maior, Castanheira de Pêra, Castelo Branco, Castro Daire, Castro Marim, Coimbra, Coruche, Estarreja, Fafe, Figueira da Foz, Figueira de Castelo Rodrigo, Grândola, Loulé, Mafra, Marco de Canaveses, Marinha Grande, Matosinhos, Moita, Montalegre, Montemor-o-novo, Moura, Nisa, Odemira, Odivelas, Oliveira do Hospital, Ourém, Paredes, Ponte de Lima, Portalegre, Portimão, Porto de Mós, Santarém, Seia, Sertã, Sousel, Trofa, Valongo, Vieira do Minho, Vila Franca de Xira, Vila Nova de Cerveira, Viseu</t>
  </si>
  <si>
    <t>Albufeira, Almada, Amarante, Aveiro, Barcelos, Benavente, Caminha, Cantanhede, Celorico de Basto, Covilhã, Gondomar, Guarda, Ílhavo, Macedo de Cavaleiros, Maia, Mogadouro, Montemor-o-velho, Oliveira de Azeméis, Paços de Ferreira, Rio Maior, Santa Marta de Penaguião, Seixal, Silves, Tomar, Torre de Moncorvo, Torres Vedras, Vagos, Viana do Castelo, Vila Nova de Gaia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</si>
</sst>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27" x14ac:knownFonts="1">
    <font>
      <sz val="11"/>
      <color theme="1"/>
      <name val="Calibri"/>
      <family val="2"/>
      <scheme val="minor"/>
    </font>
    <font>
      <sz val="11"/>
      <color theme="1"/>
      <name val="Calibri"/>
      <family val="2"/>
      <scheme val="minor"/>
    </font>
    <font>
      <sz val="10"/>
      <name val="Arial"/>
      <family val="2"/>
    </font>
    <font>
      <u/>
      <sz val="11"/>
      <color theme="10"/>
      <name val="Calibri"/>
      <family val="2"/>
    </font>
    <font>
      <u/>
      <sz val="10"/>
      <color theme="10"/>
      <name val="Arial"/>
      <family val="2"/>
    </font>
    <font>
      <u/>
      <sz val="11"/>
      <color theme="10"/>
      <name val="Calibri"/>
      <family val="2"/>
      <scheme val="minor"/>
    </font>
    <font>
      <sz val="8"/>
      <name val="Calibri"/>
      <family val="2"/>
      <scheme val="minor"/>
    </font>
    <font>
      <sz val="9"/>
      <name val="Avenir Next LT Pro"/>
      <family val="2"/>
    </font>
    <font>
      <b/>
      <sz val="9"/>
      <color theme="0"/>
      <name val="Avenir Next LT Pro"/>
      <family val="2"/>
    </font>
    <font>
      <b/>
      <sz val="9"/>
      <name val="Avenir Next LT Pro"/>
      <family val="2"/>
    </font>
    <font>
      <sz val="9"/>
      <color theme="1"/>
      <name val="Avenir Next LT Pro"/>
      <family val="2"/>
    </font>
    <font>
      <b/>
      <sz val="11"/>
      <name val="Avenir Next LT Pro"/>
      <family val="2"/>
    </font>
    <font>
      <b/>
      <sz val="11"/>
      <color theme="0"/>
      <name val="Avenir Next LT Pro"/>
      <family val="2"/>
    </font>
    <font>
      <b/>
      <i/>
      <sz val="9"/>
      <name val="Avenir Next LT Pro"/>
      <family val="2"/>
    </font>
    <font>
      <i/>
      <sz val="9"/>
      <name val="Avenir Next LT Pro"/>
      <family val="2"/>
    </font>
    <font>
      <vertAlign val="superscript"/>
      <sz val="9"/>
      <name val="Avenir Next LT Pro"/>
      <family val="2"/>
    </font>
    <font>
      <b/>
      <vertAlign val="superscript"/>
      <sz val="9"/>
      <name val="Avenir Next LT Pro"/>
      <family val="2"/>
    </font>
    <font>
      <b/>
      <sz val="9"/>
      <color theme="1"/>
      <name val="Avenir Next LT Pro"/>
      <family val="2"/>
    </font>
    <font>
      <b/>
      <i/>
      <sz val="9"/>
      <color theme="1"/>
      <name val="Avenir Next LT Pro"/>
      <family val="2"/>
    </font>
    <font>
      <sz val="9"/>
      <color rgb="FF000000"/>
      <name val="Avenir Next LT Pro"/>
      <family val="2"/>
    </font>
    <font>
      <sz val="11"/>
      <name val="Avenir Next LT Pro"/>
      <family val="2"/>
    </font>
    <font>
      <b/>
      <sz val="11"/>
      <color rgb="FF002060"/>
      <name val="Avenir Next LT Pro"/>
      <family val="2"/>
    </font>
    <font>
      <sz val="11"/>
      <color theme="1"/>
      <name val="Avenir Next LT Pro"/>
      <family val="2"/>
    </font>
    <font>
      <b/>
      <sz val="12"/>
      <color theme="0"/>
      <name val="Avenir Next LT Pro"/>
      <family val="2"/>
    </font>
    <font>
      <sz val="8"/>
      <color theme="1"/>
      <name val="Avenir Next LT Pro"/>
      <family val="2"/>
    </font>
    <font>
      <sz val="7"/>
      <color theme="1"/>
      <name val="Avenir Next LT Pro"/>
      <family val="2"/>
    </font>
    <font>
      <b/>
      <sz val="7"/>
      <color theme="1"/>
      <name val="Avenir Next LT Pro"/>
      <family val="2"/>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indexed="65"/>
        <bgColor indexed="64"/>
      </patternFill>
    </fill>
    <fill>
      <patternFill patternType="solid">
        <fgColor theme="8"/>
        <bgColor indexed="64"/>
      </patternFill>
    </fill>
    <fill>
      <patternFill patternType="solid">
        <fgColor rgb="FF0070C0"/>
        <bgColor indexed="64"/>
      </patternFill>
    </fill>
  </fills>
  <borders count="62">
    <border>
      <left/>
      <right/>
      <top/>
      <bottom/>
      <diagonal/>
    </border>
    <border>
      <left/>
      <right/>
      <top/>
      <bottom style="medium">
        <color theme="4"/>
      </bottom>
      <diagonal/>
    </border>
    <border>
      <left/>
      <right/>
      <top/>
      <bottom style="medium">
        <color rgb="FF4F81BD"/>
      </bottom>
      <diagonal/>
    </border>
    <border>
      <left/>
      <right/>
      <top style="medium">
        <color theme="4"/>
      </top>
      <bottom/>
      <diagonal/>
    </border>
    <border>
      <left/>
      <right/>
      <top style="medium">
        <color rgb="FF4F81BD"/>
      </top>
      <bottom style="thin">
        <color rgb="FF4F81BD"/>
      </bottom>
      <diagonal/>
    </border>
    <border>
      <left/>
      <right/>
      <top style="thin">
        <color rgb="FF4F81BD"/>
      </top>
      <bottom style="thin">
        <color rgb="FF4F81BD"/>
      </bottom>
      <diagonal/>
    </border>
    <border>
      <left/>
      <right/>
      <top/>
      <bottom style="thin">
        <color rgb="FF4F81BD"/>
      </bottom>
      <diagonal/>
    </border>
    <border>
      <left/>
      <right/>
      <top style="thin">
        <color theme="4"/>
      </top>
      <bottom style="thin">
        <color rgb="FF4F81BD"/>
      </bottom>
      <diagonal/>
    </border>
    <border>
      <left/>
      <right/>
      <top style="thin">
        <color theme="4"/>
      </top>
      <bottom style="thin">
        <color theme="4"/>
      </bottom>
      <diagonal/>
    </border>
    <border>
      <left/>
      <right/>
      <top style="thin">
        <color rgb="FF4F81BD"/>
      </top>
      <bottom/>
      <diagonal/>
    </border>
    <border>
      <left style="thick">
        <color theme="0"/>
      </left>
      <right/>
      <top style="medium">
        <color rgb="FF4F81BD"/>
      </top>
      <bottom style="thin">
        <color rgb="FF4F81BD"/>
      </bottom>
      <diagonal/>
    </border>
    <border>
      <left/>
      <right style="thick">
        <color theme="0"/>
      </right>
      <top style="medium">
        <color rgb="FF4F81BD"/>
      </top>
      <bottom style="thin">
        <color rgb="FF4F81BD"/>
      </bottom>
      <diagonal/>
    </border>
    <border>
      <left style="thick">
        <color theme="0"/>
      </left>
      <right/>
      <top style="thin">
        <color rgb="FF4F81BD"/>
      </top>
      <bottom style="thin">
        <color rgb="FF4F81BD"/>
      </bottom>
      <diagonal/>
    </border>
    <border>
      <left/>
      <right style="thick">
        <color theme="0"/>
      </right>
      <top style="thin">
        <color rgb="FF4F81BD"/>
      </top>
      <bottom style="thin">
        <color rgb="FF4F81BD"/>
      </bottom>
      <diagonal/>
    </border>
    <border>
      <left style="thick">
        <color theme="0"/>
      </left>
      <right/>
      <top/>
      <bottom/>
      <diagonal/>
    </border>
    <border>
      <left/>
      <right style="thick">
        <color theme="0"/>
      </right>
      <top/>
      <bottom/>
      <diagonal/>
    </border>
    <border>
      <left style="thick">
        <color theme="0"/>
      </left>
      <right/>
      <top/>
      <bottom style="medium">
        <color rgb="FF4F81BD"/>
      </bottom>
      <diagonal/>
    </border>
    <border>
      <left/>
      <right style="thick">
        <color theme="0"/>
      </right>
      <top/>
      <bottom style="medium">
        <color rgb="FF4F81BD"/>
      </bottom>
      <diagonal/>
    </border>
    <border>
      <left style="medium">
        <color theme="0"/>
      </left>
      <right/>
      <top style="medium">
        <color rgb="FF4F81BD"/>
      </top>
      <bottom style="thin">
        <color rgb="FF4F81BD"/>
      </bottom>
      <diagonal/>
    </border>
    <border>
      <left/>
      <right style="medium">
        <color theme="0"/>
      </right>
      <top style="medium">
        <color rgb="FF4F81BD"/>
      </top>
      <bottom style="thin">
        <color rgb="FF4F81BD"/>
      </bottom>
      <diagonal/>
    </border>
    <border>
      <left style="medium">
        <color theme="0"/>
      </left>
      <right/>
      <top/>
      <bottom/>
      <diagonal/>
    </border>
    <border>
      <left/>
      <right style="medium">
        <color theme="0"/>
      </right>
      <top/>
      <bottom/>
      <diagonal/>
    </border>
    <border>
      <left style="thick">
        <color theme="0"/>
      </left>
      <right/>
      <top/>
      <bottom style="thin">
        <color rgb="FF4F81BD"/>
      </bottom>
      <diagonal/>
    </border>
    <border>
      <left/>
      <right style="thick">
        <color theme="0"/>
      </right>
      <top/>
      <bottom style="thin">
        <color rgb="FF4F81BD"/>
      </bottom>
      <diagonal/>
    </border>
    <border>
      <left style="thick">
        <color theme="0"/>
      </left>
      <right/>
      <top style="thin">
        <color theme="4"/>
      </top>
      <bottom style="thin">
        <color theme="4"/>
      </bottom>
      <diagonal/>
    </border>
    <border>
      <left style="thick">
        <color theme="0"/>
      </left>
      <right/>
      <top/>
      <bottom style="medium">
        <color theme="4"/>
      </bottom>
      <diagonal/>
    </border>
    <border>
      <left/>
      <right style="thick">
        <color theme="0"/>
      </right>
      <top/>
      <bottom style="medium">
        <color theme="4"/>
      </bottom>
      <diagonal/>
    </border>
    <border>
      <left style="thick">
        <color theme="0"/>
      </left>
      <right/>
      <top style="thin">
        <color rgb="FF4F81BD"/>
      </top>
      <bottom/>
      <diagonal/>
    </border>
    <border>
      <left/>
      <right style="thick">
        <color theme="0"/>
      </right>
      <top style="thin">
        <color rgb="FF4F81BD"/>
      </top>
      <bottom/>
      <diagonal/>
    </border>
    <border>
      <left/>
      <right/>
      <top style="medium">
        <color rgb="FF4F81BD"/>
      </top>
      <bottom style="thin">
        <color theme="4"/>
      </bottom>
      <diagonal/>
    </border>
    <border>
      <left/>
      <right style="thick">
        <color theme="0"/>
      </right>
      <top style="thin">
        <color theme="4"/>
      </top>
      <bottom style="thin">
        <color rgb="FF4F81BD"/>
      </bottom>
      <diagonal/>
    </border>
    <border>
      <left style="thick">
        <color theme="0"/>
      </left>
      <right style="thick">
        <color theme="0"/>
      </right>
      <top/>
      <bottom/>
      <diagonal/>
    </border>
    <border>
      <left style="thick">
        <color theme="0"/>
      </left>
      <right/>
      <top style="medium">
        <color rgb="FF4F81BD"/>
      </top>
      <bottom style="thin">
        <color theme="4"/>
      </bottom>
      <diagonal/>
    </border>
    <border>
      <left style="thick">
        <color theme="0"/>
      </left>
      <right/>
      <top style="thin">
        <color theme="4"/>
      </top>
      <bottom style="thin">
        <color rgb="FF4F81BD"/>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bottom style="medium">
        <color rgb="FF0070C0"/>
      </bottom>
      <diagonal/>
    </border>
    <border>
      <left/>
      <right/>
      <top/>
      <bottom style="medium">
        <color rgb="FF0070C0"/>
      </bottom>
      <diagonal/>
    </border>
    <border>
      <left style="thick">
        <color theme="0"/>
      </left>
      <right/>
      <top/>
      <bottom style="medium">
        <color rgb="FF0070C0"/>
      </bottom>
      <diagonal/>
    </border>
    <border>
      <left style="medium">
        <color theme="0"/>
      </left>
      <right/>
      <top style="medium">
        <color theme="0"/>
      </top>
      <bottom/>
      <diagonal/>
    </border>
    <border>
      <left style="thick">
        <color theme="0"/>
      </left>
      <right/>
      <top style="medium">
        <color theme="0"/>
      </top>
      <bottom style="thin">
        <color rgb="FF4F81BD"/>
      </bottom>
      <diagonal/>
    </border>
    <border>
      <left/>
      <right/>
      <top style="medium">
        <color theme="0"/>
      </top>
      <bottom style="thin">
        <color rgb="FF4F81BD"/>
      </bottom>
      <diagonal/>
    </border>
    <border>
      <left/>
      <right style="thick">
        <color theme="0"/>
      </right>
      <top style="medium">
        <color theme="0"/>
      </top>
      <bottom style="thin">
        <color rgb="FF4F81BD"/>
      </bottom>
      <diagonal/>
    </border>
    <border>
      <left style="medium">
        <color theme="0"/>
      </left>
      <right/>
      <top style="medium">
        <color theme="0"/>
      </top>
      <bottom style="thin">
        <color rgb="FF4F81BD"/>
      </bottom>
      <diagonal/>
    </border>
    <border>
      <left/>
      <right style="medium">
        <color theme="0"/>
      </right>
      <top style="medium">
        <color theme="0"/>
      </top>
      <bottom style="thin">
        <color rgb="FF4F81BD"/>
      </bottom>
      <diagonal/>
    </border>
    <border>
      <left style="medium">
        <color theme="0"/>
      </left>
      <right/>
      <top/>
      <bottom style="medium">
        <color rgb="FF0070C0"/>
      </bottom>
      <diagonal/>
    </border>
    <border>
      <left/>
      <right style="medium">
        <color theme="0"/>
      </right>
      <top/>
      <bottom style="medium">
        <color rgb="FF0070C0"/>
      </bottom>
      <diagonal/>
    </border>
    <border>
      <left style="thick">
        <color theme="0"/>
      </left>
      <right/>
      <top style="thick">
        <color theme="0"/>
      </top>
      <bottom style="thin">
        <color rgb="FF4F81BD"/>
      </bottom>
      <diagonal/>
    </border>
    <border>
      <left/>
      <right/>
      <top style="medium">
        <color rgb="FF4F81BD"/>
      </top>
      <bottom/>
      <diagonal/>
    </border>
    <border>
      <left/>
      <right/>
      <top style="thin">
        <color theme="4" tint="-0.24994659260841701"/>
      </top>
      <bottom style="medium">
        <color rgb="FF366092"/>
      </bottom>
      <diagonal/>
    </border>
    <border>
      <left style="thick">
        <color theme="0"/>
      </left>
      <right style="thick">
        <color theme="0"/>
      </right>
      <top/>
      <bottom style="medium">
        <color rgb="FF366092"/>
      </bottom>
      <diagonal/>
    </border>
    <border>
      <left style="thick">
        <color theme="0"/>
      </left>
      <right/>
      <top style="thin">
        <color rgb="FF366092"/>
      </top>
      <bottom style="medium">
        <color rgb="FF366092"/>
      </bottom>
      <diagonal/>
    </border>
    <border>
      <left style="thick">
        <color theme="0"/>
      </left>
      <right/>
      <top/>
      <bottom style="medium">
        <color rgb="FF366092"/>
      </bottom>
      <diagonal/>
    </border>
    <border>
      <left/>
      <right style="thick">
        <color theme="0"/>
      </right>
      <top style="medium">
        <color rgb="FF366092"/>
      </top>
      <bottom/>
      <diagonal/>
    </border>
    <border>
      <left style="thick">
        <color theme="0"/>
      </left>
      <right style="thick">
        <color theme="0"/>
      </right>
      <top/>
      <bottom style="thin">
        <color rgb="FF4F81BD"/>
      </bottom>
      <diagonal/>
    </border>
    <border>
      <left/>
      <right style="thick">
        <color theme="0"/>
      </right>
      <top/>
      <bottom style="medium">
        <color rgb="FF366092"/>
      </bottom>
      <diagonal/>
    </border>
    <border>
      <left style="thick">
        <color theme="0"/>
      </left>
      <right/>
      <top style="medium">
        <color rgb="FF366092"/>
      </top>
      <bottom style="thin">
        <color rgb="FF366092"/>
      </bottom>
      <diagonal/>
    </border>
    <border>
      <left style="thick">
        <color theme="0"/>
      </left>
      <right/>
      <top style="thin">
        <color rgb="FF366092"/>
      </top>
      <bottom style="thin">
        <color rgb="FF366092"/>
      </bottom>
      <diagonal/>
    </border>
    <border>
      <left style="thick">
        <color theme="0"/>
      </left>
      <right style="thick">
        <color theme="0"/>
      </right>
      <top style="thin">
        <color rgb="FF4F81BD"/>
      </top>
      <bottom style="thin">
        <color rgb="FF366092"/>
      </bottom>
      <diagonal/>
    </border>
    <border>
      <left/>
      <right/>
      <top/>
      <bottom style="medium">
        <color rgb="FF366092"/>
      </bottom>
      <diagonal/>
    </border>
    <border>
      <left style="thick">
        <color theme="0"/>
      </left>
      <right style="thick">
        <color theme="0"/>
      </right>
      <top style="medium">
        <color rgb="FF366092"/>
      </top>
      <bottom style="medium">
        <color rgb="FF366092"/>
      </bottom>
      <diagonal/>
    </border>
    <border>
      <left style="thick">
        <color theme="0"/>
      </left>
      <right style="thick">
        <color theme="0"/>
      </right>
      <top style="thin">
        <color rgb="FF366092"/>
      </top>
      <bottom style="thin">
        <color rgb="FF366092"/>
      </bottom>
      <diagonal/>
    </border>
  </borders>
  <cellStyleXfs count="10">
    <xf numFmtId="0" fontId="0" fillId="0" borderId="0"/>
    <xf numFmtId="0" fontId="2" fillId="0" borderId="0"/>
    <xf numFmtId="0" fontId="2" fillId="0" borderId="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 fillId="0" borderId="0"/>
    <xf numFmtId="0" fontId="5"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308">
    <xf numFmtId="0" fontId="0" fillId="0" borderId="0" xfId="0"/>
    <xf numFmtId="0" fontId="7" fillId="0" borderId="0" xfId="0" applyFont="1"/>
    <xf numFmtId="0" fontId="9" fillId="0" borderId="0" xfId="0" applyFont="1"/>
    <xf numFmtId="0" fontId="10" fillId="0" borderId="0" xfId="0" applyFont="1"/>
    <xf numFmtId="0" fontId="8" fillId="6" borderId="48" xfId="0" applyFont="1" applyFill="1" applyBorder="1" applyAlignment="1">
      <alignment horizontal="center" vertical="center"/>
    </xf>
    <xf numFmtId="0" fontId="9" fillId="3" borderId="0" xfId="0" applyFont="1" applyFill="1" applyAlignment="1">
      <alignment horizontal="center" vertical="center" wrapText="1"/>
    </xf>
    <xf numFmtId="0" fontId="9" fillId="0" borderId="0" xfId="0" applyFont="1" applyAlignment="1">
      <alignment horizontal="center" vertical="center" wrapText="1"/>
    </xf>
    <xf numFmtId="0" fontId="8" fillId="6" borderId="47"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left" vertical="center" wrapText="1"/>
    </xf>
    <xf numFmtId="0" fontId="7" fillId="3" borderId="0" xfId="0" applyFont="1" applyFill="1" applyAlignment="1">
      <alignment horizontal="center" vertical="center" wrapText="1"/>
    </xf>
    <xf numFmtId="0" fontId="9" fillId="0" borderId="1" xfId="0" applyFont="1" applyBorder="1" applyAlignment="1">
      <alignment vertical="center" wrapText="1"/>
    </xf>
    <xf numFmtId="0" fontId="7" fillId="0" borderId="0" xfId="0" applyFont="1" applyAlignment="1">
      <alignment horizontal="right"/>
    </xf>
    <xf numFmtId="0" fontId="11" fillId="0" borderId="0" xfId="0" applyFont="1"/>
    <xf numFmtId="0" fontId="8" fillId="0" borderId="0" xfId="0" applyFont="1"/>
    <xf numFmtId="0" fontId="9" fillId="0" borderId="0" xfId="0" applyFont="1" applyAlignment="1">
      <alignment horizontal="left" vertical="center"/>
    </xf>
    <xf numFmtId="0" fontId="9" fillId="0" borderId="12" xfId="0" applyFont="1" applyBorder="1" applyAlignment="1">
      <alignment horizontal="center" vertical="center" wrapText="1"/>
    </xf>
    <xf numFmtId="0" fontId="9" fillId="0" borderId="5" xfId="0" applyFont="1" applyBorder="1" applyAlignment="1">
      <alignment horizontal="center" vertical="center" wrapText="1"/>
    </xf>
    <xf numFmtId="164" fontId="13" fillId="0" borderId="5" xfId="7" applyNumberFormat="1" applyFont="1" applyFill="1" applyBorder="1" applyAlignment="1">
      <alignment horizontal="center" vertical="center" wrapText="1"/>
    </xf>
    <xf numFmtId="0" fontId="7" fillId="3" borderId="0" xfId="0" applyFont="1" applyFill="1" applyAlignment="1">
      <alignment horizontal="left" vertical="center" wrapText="1"/>
    </xf>
    <xf numFmtId="0" fontId="9" fillId="0" borderId="6" xfId="0" applyFont="1" applyBorder="1" applyAlignment="1">
      <alignment horizontal="center" vertical="center" wrapText="1"/>
    </xf>
    <xf numFmtId="0" fontId="7" fillId="0" borderId="0" xfId="0" applyFont="1" applyAlignment="1">
      <alignment horizontal="center"/>
    </xf>
    <xf numFmtId="0" fontId="9" fillId="0" borderId="13" xfId="0" applyFont="1" applyBorder="1" applyAlignment="1">
      <alignment horizontal="center" vertical="center" wrapText="1"/>
    </xf>
    <xf numFmtId="0" fontId="7" fillId="0" borderId="0" xfId="0" applyFont="1" applyAlignment="1">
      <alignment horizontal="left" vertical="center" wrapText="1"/>
    </xf>
    <xf numFmtId="0" fontId="7" fillId="4" borderId="0" xfId="0" applyFont="1" applyFill="1" applyAlignment="1">
      <alignment vertical="center" wrapText="1"/>
    </xf>
    <xf numFmtId="0" fontId="9" fillId="0" borderId="6" xfId="0" applyFont="1" applyBorder="1" applyAlignment="1">
      <alignment horizontal="left" vertical="center" wrapText="1"/>
    </xf>
    <xf numFmtId="0" fontId="8" fillId="6" borderId="6" xfId="0" applyFont="1" applyFill="1" applyBorder="1" applyAlignment="1">
      <alignment horizontal="center" vertical="center" wrapText="1"/>
    </xf>
    <xf numFmtId="0" fontId="7" fillId="0" borderId="0" xfId="0" applyFont="1" applyAlignment="1">
      <alignment vertical="center"/>
    </xf>
    <xf numFmtId="0" fontId="8" fillId="6" borderId="0" xfId="0" applyFont="1" applyFill="1" applyAlignment="1">
      <alignment horizontal="center" vertical="center" wrapText="1"/>
    </xf>
    <xf numFmtId="0" fontId="8" fillId="6" borderId="31"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7" fillId="4" borderId="0" xfId="0" applyFont="1" applyFill="1"/>
    <xf numFmtId="164" fontId="13" fillId="0" borderId="5" xfId="7" quotePrefix="1" applyNumberFormat="1" applyFont="1" applyFill="1" applyBorder="1" applyAlignment="1">
      <alignment horizontal="center" vertical="center" wrapText="1"/>
    </xf>
    <xf numFmtId="164" fontId="13" fillId="0" borderId="13" xfId="7" quotePrefix="1" applyNumberFormat="1" applyFont="1" applyFill="1" applyBorder="1" applyAlignment="1">
      <alignment horizontal="center" vertical="center" wrapText="1"/>
    </xf>
    <xf numFmtId="0" fontId="7" fillId="4" borderId="0" xfId="0" applyFont="1" applyFill="1" applyAlignment="1">
      <alignment vertical="center"/>
    </xf>
    <xf numFmtId="0" fontId="7" fillId="0" borderId="1" xfId="0" applyFont="1" applyBorder="1"/>
    <xf numFmtId="0" fontId="9" fillId="0" borderId="3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30" xfId="0" applyFont="1" applyBorder="1" applyAlignment="1">
      <alignment horizontal="center" vertical="center" wrapText="1"/>
    </xf>
    <xf numFmtId="164" fontId="13" fillId="0" borderId="7" xfId="7" applyNumberFormat="1" applyFont="1" applyFill="1" applyBorder="1" applyAlignment="1">
      <alignment horizontal="center" vertical="center" wrapText="1"/>
    </xf>
    <xf numFmtId="164" fontId="13" fillId="0" borderId="8" xfId="7" quotePrefix="1" applyNumberFormat="1" applyFont="1" applyFill="1" applyBorder="1" applyAlignment="1">
      <alignment horizontal="center" vertical="center" wrapText="1"/>
    </xf>
    <xf numFmtId="0" fontId="10" fillId="0" borderId="1" xfId="0" applyFont="1" applyBorder="1"/>
    <xf numFmtId="0" fontId="9" fillId="3" borderId="12"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0" fillId="0" borderId="0" xfId="0" applyFont="1" applyAlignment="1">
      <alignment vertical="center"/>
    </xf>
    <xf numFmtId="0" fontId="11"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164" fontId="7" fillId="0" borderId="0" xfId="0" applyNumberFormat="1" applyFont="1" applyAlignment="1">
      <alignment horizontal="center" vertical="center"/>
    </xf>
    <xf numFmtId="164" fontId="9" fillId="0" borderId="1" xfId="0" applyNumberFormat="1" applyFont="1" applyBorder="1" applyAlignment="1">
      <alignment horizontal="center" vertical="center"/>
    </xf>
    <xf numFmtId="0" fontId="9" fillId="0" borderId="1" xfId="0" applyFont="1" applyBorder="1" applyAlignment="1">
      <alignment horizontal="center"/>
    </xf>
    <xf numFmtId="1" fontId="9" fillId="3" borderId="0" xfId="0" applyNumberFormat="1" applyFont="1" applyFill="1" applyAlignment="1">
      <alignment horizontal="center" vertical="center" wrapText="1"/>
    </xf>
    <xf numFmtId="1" fontId="7" fillId="3" borderId="20" xfId="0" applyNumberFormat="1" applyFont="1" applyFill="1" applyBorder="1" applyAlignment="1">
      <alignment horizontal="left" vertical="center" wrapText="1"/>
    </xf>
    <xf numFmtId="1" fontId="9" fillId="3" borderId="45" xfId="0" applyNumberFormat="1" applyFont="1" applyFill="1" applyBorder="1" applyAlignment="1">
      <alignment horizontal="left" vertical="center" wrapText="1"/>
    </xf>
    <xf numFmtId="164" fontId="13" fillId="0" borderId="6" xfId="7" quotePrefix="1" applyNumberFormat="1" applyFont="1" applyFill="1" applyBorder="1" applyAlignment="1">
      <alignment horizontal="center" vertical="center" wrapText="1"/>
    </xf>
    <xf numFmtId="0" fontId="9" fillId="3" borderId="0" xfId="0" applyFont="1" applyFill="1" applyAlignment="1">
      <alignment horizontal="left" vertical="center" wrapText="1"/>
    </xf>
    <xf numFmtId="0" fontId="8" fillId="6" borderId="22" xfId="0" applyFont="1" applyFill="1" applyBorder="1" applyAlignment="1">
      <alignment horizontal="center" vertical="center" wrapText="1"/>
    </xf>
    <xf numFmtId="0" fontId="8" fillId="6" borderId="23" xfId="0" applyFont="1" applyFill="1" applyBorder="1" applyAlignment="1">
      <alignment horizontal="center" vertical="center" wrapText="1"/>
    </xf>
    <xf numFmtId="0" fontId="9" fillId="4" borderId="0" xfId="0" applyFont="1" applyFill="1" applyAlignment="1">
      <alignment horizontal="left" vertical="center"/>
    </xf>
    <xf numFmtId="0" fontId="13" fillId="3" borderId="8" xfId="0" applyFont="1" applyFill="1" applyBorder="1" applyAlignment="1">
      <alignment horizontal="left" vertical="center"/>
    </xf>
    <xf numFmtId="0" fontId="13" fillId="3" borderId="1" xfId="0" applyFont="1" applyFill="1" applyBorder="1" applyAlignment="1">
      <alignment horizontal="left" vertical="center"/>
    </xf>
    <xf numFmtId="0" fontId="9" fillId="3" borderId="2" xfId="0" applyFont="1" applyFill="1" applyBorder="1" applyAlignment="1">
      <alignment vertical="center" wrapText="1"/>
    </xf>
    <xf numFmtId="0" fontId="20" fillId="0" borderId="0" xfId="0" applyFont="1"/>
    <xf numFmtId="0" fontId="20" fillId="0" borderId="0" xfId="2" applyFont="1" applyAlignment="1">
      <alignment vertical="center"/>
    </xf>
    <xf numFmtId="0" fontId="12" fillId="3" borderId="0" xfId="1" applyFont="1" applyFill="1" applyAlignment="1">
      <alignment horizontal="center" vertical="center"/>
    </xf>
    <xf numFmtId="0" fontId="21" fillId="0" borderId="0" xfId="1" applyFont="1" applyAlignment="1">
      <alignment horizontal="center" vertical="center"/>
    </xf>
    <xf numFmtId="0" fontId="11" fillId="0" borderId="0" xfId="1" applyFont="1" applyAlignment="1">
      <alignment horizontal="center" vertical="center"/>
    </xf>
    <xf numFmtId="0" fontId="20" fillId="0" borderId="0" xfId="1" applyFont="1" applyAlignment="1">
      <alignment vertical="center"/>
    </xf>
    <xf numFmtId="0" fontId="11" fillId="0" borderId="0" xfId="1" applyFont="1" applyAlignment="1">
      <alignment vertical="center"/>
    </xf>
    <xf numFmtId="0" fontId="20" fillId="0" borderId="0" xfId="6" applyFont="1" applyAlignment="1" applyProtection="1"/>
    <xf numFmtId="0" fontId="20" fillId="0" borderId="0" xfId="3" applyFont="1" applyAlignment="1" applyProtection="1"/>
    <xf numFmtId="0" fontId="20" fillId="0" borderId="0" xfId="0" applyFont="1" applyAlignment="1">
      <alignment horizontal="center"/>
    </xf>
    <xf numFmtId="0" fontId="20" fillId="0" borderId="0" xfId="0" applyFont="1" applyAlignment="1">
      <alignment horizontal="left"/>
    </xf>
    <xf numFmtId="0" fontId="20" fillId="0" borderId="0" xfId="2" applyFont="1" applyAlignment="1">
      <alignment horizontal="left" vertical="center"/>
    </xf>
    <xf numFmtId="0" fontId="20" fillId="0" borderId="0" xfId="1" applyFont="1" applyAlignment="1">
      <alignment horizontal="center" vertical="center"/>
    </xf>
    <xf numFmtId="0" fontId="20" fillId="0" borderId="0" xfId="1" applyFont="1" applyAlignment="1">
      <alignment horizontal="left" vertical="center"/>
    </xf>
    <xf numFmtId="0" fontId="20" fillId="0" borderId="0" xfId="4" applyFont="1" applyFill="1" applyAlignment="1" applyProtection="1">
      <alignment horizontal="center" vertical="center"/>
    </xf>
    <xf numFmtId="0" fontId="20" fillId="0" borderId="0" xfId="0" applyFont="1" applyAlignment="1">
      <alignment vertical="center"/>
    </xf>
    <xf numFmtId="0" fontId="22" fillId="0" borderId="0" xfId="0" applyFont="1" applyAlignment="1">
      <alignment horizontal="left"/>
    </xf>
    <xf numFmtId="0" fontId="20" fillId="0" borderId="0" xfId="0" applyFont="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vertical="center"/>
    </xf>
    <xf numFmtId="0" fontId="23" fillId="2" borderId="0" xfId="1" applyFont="1" applyFill="1" applyAlignment="1">
      <alignment horizontal="center" vertical="center"/>
    </xf>
    <xf numFmtId="49" fontId="12" fillId="5" borderId="0" xfId="1" quotePrefix="1" applyNumberFormat="1" applyFont="1" applyFill="1" applyAlignment="1">
      <alignment horizontal="center" vertical="center"/>
    </xf>
    <xf numFmtId="0" fontId="24" fillId="0" borderId="0" xfId="0" applyFont="1"/>
    <xf numFmtId="164" fontId="9" fillId="0" borderId="12" xfId="7" applyNumberFormat="1" applyFont="1" applyFill="1" applyBorder="1" applyAlignment="1">
      <alignment horizontal="center" vertical="center" wrapText="1"/>
    </xf>
    <xf numFmtId="164" fontId="9" fillId="0" borderId="5" xfId="7" applyNumberFormat="1" applyFont="1" applyFill="1" applyBorder="1" applyAlignment="1">
      <alignment horizontal="center" vertical="center" wrapText="1"/>
    </xf>
    <xf numFmtId="1" fontId="9" fillId="3" borderId="5" xfId="0" applyNumberFormat="1" applyFont="1" applyFill="1" applyBorder="1" applyAlignment="1">
      <alignment horizontal="center" vertical="center" wrapText="1"/>
    </xf>
    <xf numFmtId="0" fontId="25" fillId="0" borderId="0" xfId="0" applyFont="1" applyAlignment="1">
      <alignment vertical="center"/>
    </xf>
    <xf numFmtId="0" fontId="25" fillId="0" borderId="3" xfId="0" applyFont="1" applyBorder="1" applyAlignment="1">
      <alignment vertical="center"/>
    </xf>
    <xf numFmtId="3" fontId="7" fillId="4" borderId="14" xfId="0" applyNumberFormat="1" applyFont="1" applyFill="1" applyBorder="1" applyAlignment="1">
      <alignment horizontal="right" vertical="center" wrapText="1"/>
    </xf>
    <xf numFmtId="3" fontId="7" fillId="4" borderId="0" xfId="0" applyNumberFormat="1" applyFont="1" applyFill="1" applyAlignment="1">
      <alignment horizontal="right" vertical="center" wrapText="1"/>
    </xf>
    <xf numFmtId="164" fontId="14" fillId="4" borderId="15" xfId="7" applyNumberFormat="1" applyFont="1" applyFill="1" applyBorder="1" applyAlignment="1">
      <alignment horizontal="right" vertical="center" wrapText="1"/>
    </xf>
    <xf numFmtId="164" fontId="14" fillId="4" borderId="0" xfId="7" applyNumberFormat="1" applyFont="1" applyFill="1" applyBorder="1" applyAlignment="1">
      <alignment horizontal="right" vertical="center" wrapText="1"/>
    </xf>
    <xf numFmtId="164" fontId="7" fillId="4" borderId="15" xfId="7" applyNumberFormat="1" applyFont="1" applyFill="1" applyBorder="1" applyAlignment="1">
      <alignment horizontal="right" vertical="center" wrapText="1"/>
    </xf>
    <xf numFmtId="3" fontId="9" fillId="3" borderId="16" xfId="0" applyNumberFormat="1" applyFont="1" applyFill="1" applyBorder="1" applyAlignment="1">
      <alignment horizontal="right" vertical="center" wrapText="1"/>
    </xf>
    <xf numFmtId="3" fontId="9" fillId="3" borderId="2" xfId="0" applyNumberFormat="1" applyFont="1" applyFill="1" applyBorder="1" applyAlignment="1">
      <alignment horizontal="right" vertical="center" wrapText="1"/>
    </xf>
    <xf numFmtId="164" fontId="13" fillId="3" borderId="17" xfId="7" applyNumberFormat="1" applyFont="1" applyFill="1" applyBorder="1" applyAlignment="1">
      <alignment horizontal="right" vertical="center" wrapText="1"/>
    </xf>
    <xf numFmtId="164" fontId="13" fillId="3" borderId="2" xfId="7" applyNumberFormat="1" applyFont="1" applyFill="1" applyBorder="1" applyAlignment="1">
      <alignment horizontal="right" vertical="center" wrapText="1"/>
    </xf>
    <xf numFmtId="3" fontId="7" fillId="4" borderId="20" xfId="0" applyNumberFormat="1" applyFont="1" applyFill="1" applyBorder="1" applyAlignment="1">
      <alignment horizontal="right" vertical="center" wrapText="1"/>
    </xf>
    <xf numFmtId="164" fontId="14" fillId="4" borderId="21" xfId="7" applyNumberFormat="1" applyFont="1" applyFill="1" applyBorder="1" applyAlignment="1">
      <alignment horizontal="right" vertical="center" wrapText="1"/>
    </xf>
    <xf numFmtId="3" fontId="7" fillId="3" borderId="14" xfId="0" applyNumberFormat="1" applyFont="1" applyFill="1" applyBorder="1" applyAlignment="1">
      <alignment horizontal="right" vertical="center" wrapText="1"/>
    </xf>
    <xf numFmtId="3" fontId="7" fillId="3" borderId="0" xfId="0" applyNumberFormat="1" applyFont="1" applyFill="1" applyAlignment="1">
      <alignment horizontal="right" vertical="center" wrapText="1"/>
    </xf>
    <xf numFmtId="3" fontId="7" fillId="3" borderId="15" xfId="0" applyNumberFormat="1" applyFont="1" applyFill="1" applyBorder="1" applyAlignment="1">
      <alignment horizontal="right" vertical="center" wrapText="1"/>
    </xf>
    <xf numFmtId="3" fontId="7" fillId="0" borderId="14" xfId="0" applyNumberFormat="1" applyFont="1" applyBorder="1" applyAlignment="1">
      <alignment horizontal="right" vertical="center" wrapText="1"/>
    </xf>
    <xf numFmtId="2" fontId="7" fillId="0" borderId="0" xfId="0" applyNumberFormat="1" applyFont="1" applyAlignment="1">
      <alignment horizontal="right" vertical="center" wrapText="1"/>
    </xf>
    <xf numFmtId="3" fontId="7" fillId="4" borderId="14" xfId="0" applyNumberFormat="1" applyFont="1" applyFill="1" applyBorder="1" applyAlignment="1">
      <alignment horizontal="right" vertical="center"/>
    </xf>
    <xf numFmtId="3" fontId="7" fillId="4" borderId="0" xfId="0" applyNumberFormat="1" applyFont="1" applyFill="1" applyAlignment="1">
      <alignment horizontal="right" vertical="center"/>
    </xf>
    <xf numFmtId="3" fontId="7" fillId="4" borderId="15" xfId="0" applyNumberFormat="1" applyFont="1" applyFill="1" applyBorder="1" applyAlignment="1">
      <alignment horizontal="right" vertical="center"/>
    </xf>
    <xf numFmtId="164" fontId="13" fillId="3" borderId="24" xfId="0" applyNumberFormat="1" applyFont="1" applyFill="1" applyBorder="1" applyAlignment="1">
      <alignment horizontal="right" vertical="center"/>
    </xf>
    <xf numFmtId="164" fontId="13" fillId="3" borderId="25" xfId="0" applyNumberFormat="1" applyFont="1" applyFill="1" applyBorder="1" applyAlignment="1">
      <alignment horizontal="right" vertical="center"/>
    </xf>
    <xf numFmtId="3" fontId="7" fillId="3" borderId="21" xfId="0" applyNumberFormat="1" applyFont="1" applyFill="1" applyBorder="1" applyAlignment="1">
      <alignment horizontal="right" vertical="center" wrapText="1"/>
    </xf>
    <xf numFmtId="3" fontId="9" fillId="3" borderId="38" xfId="0" applyNumberFormat="1" applyFont="1" applyFill="1" applyBorder="1" applyAlignment="1">
      <alignment horizontal="right" vertical="center" wrapText="1"/>
    </xf>
    <xf numFmtId="3" fontId="9" fillId="3" borderId="37" xfId="0" applyNumberFormat="1" applyFont="1" applyFill="1" applyBorder="1" applyAlignment="1">
      <alignment horizontal="right" vertical="center" wrapText="1"/>
    </xf>
    <xf numFmtId="3" fontId="9" fillId="3" borderId="36" xfId="0" applyNumberFormat="1" applyFont="1" applyFill="1" applyBorder="1" applyAlignment="1">
      <alignment horizontal="right" vertical="center" wrapText="1"/>
    </xf>
    <xf numFmtId="3" fontId="9" fillId="3" borderId="46" xfId="0" applyNumberFormat="1" applyFont="1" applyFill="1" applyBorder="1" applyAlignment="1">
      <alignment horizontal="right" vertical="center" wrapText="1"/>
    </xf>
    <xf numFmtId="164" fontId="14" fillId="0" borderId="27" xfId="0" applyNumberFormat="1" applyFont="1" applyBorder="1" applyAlignment="1">
      <alignment horizontal="right" vertical="center" wrapText="1"/>
    </xf>
    <xf numFmtId="164" fontId="14" fillId="0" borderId="9" xfId="0" applyNumberFormat="1" applyFont="1" applyBorder="1" applyAlignment="1">
      <alignment horizontal="right" vertical="center" wrapText="1"/>
    </xf>
    <xf numFmtId="0" fontId="10" fillId="0" borderId="0" xfId="0" applyFont="1" applyAlignment="1">
      <alignment horizontal="right"/>
    </xf>
    <xf numFmtId="164" fontId="14" fillId="0" borderId="14" xfId="0" applyNumberFormat="1" applyFont="1" applyBorder="1" applyAlignment="1">
      <alignment horizontal="right" vertical="center" wrapText="1"/>
    </xf>
    <xf numFmtId="164" fontId="14" fillId="0" borderId="0" xfId="0" applyNumberFormat="1" applyFont="1" applyAlignment="1">
      <alignment horizontal="right" vertical="center" wrapText="1"/>
    </xf>
    <xf numFmtId="0" fontId="10" fillId="0" borderId="15" xfId="0" applyFont="1" applyBorder="1" applyAlignment="1">
      <alignment horizontal="right"/>
    </xf>
    <xf numFmtId="164" fontId="13" fillId="0" borderId="25" xfId="0" applyNumberFormat="1" applyFont="1" applyBorder="1" applyAlignment="1">
      <alignment horizontal="right" vertical="center" wrapText="1"/>
    </xf>
    <xf numFmtId="164" fontId="13" fillId="0" borderId="1" xfId="0" applyNumberFormat="1" applyFont="1" applyBorder="1" applyAlignment="1">
      <alignment horizontal="right" vertical="center" wrapText="1"/>
    </xf>
    <xf numFmtId="0" fontId="17" fillId="0" borderId="1" xfId="0" applyFont="1" applyBorder="1" applyAlignment="1">
      <alignment horizontal="right"/>
    </xf>
    <xf numFmtId="0" fontId="9" fillId="0" borderId="26" xfId="0" applyFont="1" applyBorder="1" applyAlignment="1">
      <alignment horizontal="right"/>
    </xf>
    <xf numFmtId="0" fontId="17" fillId="0" borderId="26" xfId="0" applyFont="1" applyBorder="1" applyAlignment="1">
      <alignment horizontal="right"/>
    </xf>
    <xf numFmtId="3" fontId="19" fillId="0" borderId="14" xfId="0" applyNumberFormat="1" applyFont="1" applyBorder="1" applyAlignment="1">
      <alignment horizontal="right" vertical="center" wrapText="1"/>
    </xf>
    <xf numFmtId="3" fontId="19" fillId="0" borderId="0" xfId="0" applyNumberFormat="1" applyFont="1" applyAlignment="1">
      <alignment horizontal="right" vertical="center" wrapText="1"/>
    </xf>
    <xf numFmtId="164" fontId="14" fillId="4" borderId="0" xfId="7" applyNumberFormat="1" applyFont="1" applyFill="1" applyAlignment="1">
      <alignment horizontal="right" vertical="center" wrapText="1"/>
    </xf>
    <xf numFmtId="3" fontId="9" fillId="0" borderId="25" xfId="0" applyNumberFormat="1" applyFont="1" applyBorder="1" applyAlignment="1">
      <alignment horizontal="right" vertical="center" wrapText="1"/>
    </xf>
    <xf numFmtId="3" fontId="9" fillId="0" borderId="1" xfId="0" applyNumberFormat="1" applyFont="1" applyBorder="1" applyAlignment="1">
      <alignment horizontal="right" vertical="center" wrapText="1"/>
    </xf>
    <xf numFmtId="164" fontId="13" fillId="0" borderId="26" xfId="7" applyNumberFormat="1" applyFont="1" applyFill="1" applyBorder="1" applyAlignment="1">
      <alignment horizontal="right" vertical="center" wrapText="1"/>
    </xf>
    <xf numFmtId="164" fontId="13" fillId="0" borderId="1" xfId="7" applyNumberFormat="1" applyFont="1" applyFill="1" applyBorder="1" applyAlignment="1">
      <alignment horizontal="right" vertical="center" wrapText="1"/>
    </xf>
    <xf numFmtId="3" fontId="7" fillId="4" borderId="27" xfId="0" applyNumberFormat="1" applyFont="1" applyFill="1" applyBorder="1" applyAlignment="1">
      <alignment horizontal="right" vertical="center" wrapText="1"/>
    </xf>
    <xf numFmtId="3" fontId="7" fillId="4" borderId="9" xfId="0" applyNumberFormat="1" applyFont="1" applyFill="1" applyBorder="1" applyAlignment="1">
      <alignment horizontal="right" vertical="center" wrapText="1"/>
    </xf>
    <xf numFmtId="164" fontId="14" fillId="4" borderId="28" xfId="7" applyNumberFormat="1" applyFont="1" applyFill="1" applyBorder="1" applyAlignment="1">
      <alignment horizontal="right" vertical="center" wrapText="1"/>
    </xf>
    <xf numFmtId="3" fontId="7" fillId="0" borderId="27" xfId="0" applyNumberFormat="1" applyFont="1" applyBorder="1" applyAlignment="1">
      <alignment horizontal="right" vertical="center" wrapText="1"/>
    </xf>
    <xf numFmtId="3" fontId="7" fillId="0" borderId="9" xfId="0" applyNumberFormat="1" applyFont="1" applyBorder="1" applyAlignment="1">
      <alignment horizontal="right" vertical="center" wrapText="1"/>
    </xf>
    <xf numFmtId="3" fontId="7" fillId="0" borderId="28" xfId="0" applyNumberFormat="1" applyFont="1" applyBorder="1" applyAlignment="1">
      <alignment horizontal="right" vertical="center" wrapText="1"/>
    </xf>
    <xf numFmtId="3" fontId="7" fillId="0" borderId="0" xfId="0" applyNumberFormat="1" applyFont="1" applyAlignment="1">
      <alignment horizontal="right" vertical="center" wrapText="1"/>
    </xf>
    <xf numFmtId="3" fontId="7" fillId="0" borderId="15" xfId="0" applyNumberFormat="1" applyFont="1" applyBorder="1" applyAlignment="1">
      <alignment horizontal="right" vertical="center" wrapText="1"/>
    </xf>
    <xf numFmtId="3" fontId="9" fillId="0" borderId="26" xfId="0" applyNumberFormat="1" applyFont="1" applyBorder="1" applyAlignment="1">
      <alignment horizontal="right" vertical="center" wrapText="1"/>
    </xf>
    <xf numFmtId="4" fontId="9" fillId="0" borderId="25" xfId="0" applyNumberFormat="1" applyFont="1" applyBorder="1" applyAlignment="1">
      <alignment horizontal="right" vertical="center" wrapText="1"/>
    </xf>
    <xf numFmtId="4" fontId="9" fillId="0" borderId="1" xfId="0" applyNumberFormat="1" applyFont="1" applyBorder="1" applyAlignment="1">
      <alignment horizontal="right" vertical="center" wrapText="1"/>
    </xf>
    <xf numFmtId="0" fontId="10" fillId="0" borderId="28" xfId="0" applyFont="1" applyBorder="1" applyAlignment="1">
      <alignment horizontal="right"/>
    </xf>
    <xf numFmtId="3" fontId="7" fillId="0" borderId="0" xfId="0" applyNumberFormat="1" applyFont="1" applyAlignment="1">
      <alignment horizontal="right" vertical="center"/>
    </xf>
    <xf numFmtId="3" fontId="7" fillId="4" borderId="15" xfId="0" applyNumberFormat="1" applyFont="1" applyFill="1" applyBorder="1" applyAlignment="1">
      <alignment horizontal="right" vertical="center" wrapText="1"/>
    </xf>
    <xf numFmtId="3" fontId="7" fillId="4" borderId="28" xfId="0" applyNumberFormat="1" applyFont="1" applyFill="1" applyBorder="1" applyAlignment="1">
      <alignment horizontal="right" vertical="center" wrapText="1"/>
    </xf>
    <xf numFmtId="3" fontId="7" fillId="4" borderId="9" xfId="7" applyNumberFormat="1" applyFont="1" applyFill="1" applyBorder="1" applyAlignment="1">
      <alignment horizontal="right" vertical="center" wrapText="1"/>
    </xf>
    <xf numFmtId="3" fontId="7" fillId="4" borderId="0" xfId="7" applyNumberFormat="1" applyFont="1" applyFill="1" applyBorder="1" applyAlignment="1">
      <alignment horizontal="right" vertical="center" wrapText="1"/>
    </xf>
    <xf numFmtId="4" fontId="7" fillId="0" borderId="0" xfId="0" applyNumberFormat="1" applyFont="1" applyAlignment="1">
      <alignment horizontal="right" vertical="center"/>
    </xf>
    <xf numFmtId="0" fontId="10" fillId="0" borderId="28" xfId="0" applyFont="1" applyBorder="1" applyAlignment="1">
      <alignment horizontal="right" vertical="center"/>
    </xf>
    <xf numFmtId="0" fontId="10" fillId="0" borderId="0" xfId="0" applyFont="1" applyAlignment="1">
      <alignment horizontal="right" vertical="center"/>
    </xf>
    <xf numFmtId="0" fontId="7" fillId="0" borderId="0" xfId="0" applyFont="1" applyAlignment="1">
      <alignment horizontal="right" vertical="center"/>
    </xf>
    <xf numFmtId="164" fontId="14" fillId="0" borderId="27" xfId="0" applyNumberFormat="1" applyFont="1" applyBorder="1" applyAlignment="1">
      <alignment horizontal="right" vertical="center"/>
    </xf>
    <xf numFmtId="164" fontId="14" fillId="0" borderId="9" xfId="0" applyNumberFormat="1" applyFont="1" applyBorder="1" applyAlignment="1">
      <alignment horizontal="right" vertical="center"/>
    </xf>
    <xf numFmtId="0" fontId="10" fillId="0" borderId="15" xfId="0" applyFont="1" applyBorder="1" applyAlignment="1">
      <alignment horizontal="right" vertical="center"/>
    </xf>
    <xf numFmtId="164" fontId="14" fillId="0" borderId="14" xfId="0" applyNumberFormat="1" applyFont="1" applyBorder="1" applyAlignment="1">
      <alignment horizontal="right" vertical="center"/>
    </xf>
    <xf numFmtId="164" fontId="14" fillId="0" borderId="0" xfId="0" applyNumberFormat="1" applyFont="1" applyAlignment="1">
      <alignment horizontal="right" vertical="center"/>
    </xf>
    <xf numFmtId="0" fontId="18" fillId="0" borderId="26" xfId="0" applyFont="1" applyBorder="1" applyAlignment="1">
      <alignment horizontal="right" vertical="center"/>
    </xf>
    <xf numFmtId="0" fontId="18" fillId="0" borderId="1" xfId="0" applyFont="1" applyBorder="1" applyAlignment="1">
      <alignment horizontal="right" vertical="center"/>
    </xf>
    <xf numFmtId="0" fontId="13" fillId="0" borderId="1" xfId="0" applyFont="1" applyBorder="1" applyAlignment="1">
      <alignment horizontal="right" vertical="center"/>
    </xf>
    <xf numFmtId="164" fontId="13" fillId="0" borderId="25" xfId="0" applyNumberFormat="1" applyFont="1" applyBorder="1" applyAlignment="1">
      <alignment horizontal="right" vertical="center"/>
    </xf>
    <xf numFmtId="164" fontId="13" fillId="0" borderId="1" xfId="0" applyNumberFormat="1" applyFont="1" applyBorder="1" applyAlignment="1">
      <alignment horizontal="right" vertical="center"/>
    </xf>
    <xf numFmtId="1" fontId="7" fillId="4" borderId="27" xfId="0" applyNumberFormat="1" applyFont="1" applyFill="1" applyBorder="1" applyAlignment="1">
      <alignment horizontal="right" vertical="center" wrapText="1"/>
    </xf>
    <xf numFmtId="1" fontId="7" fillId="4" borderId="9" xfId="0" applyNumberFormat="1" applyFont="1" applyFill="1" applyBorder="1" applyAlignment="1">
      <alignment horizontal="right" vertical="center" wrapText="1"/>
    </xf>
    <xf numFmtId="1" fontId="7" fillId="4" borderId="28" xfId="7" applyNumberFormat="1" applyFont="1" applyFill="1" applyBorder="1" applyAlignment="1">
      <alignment horizontal="right" vertical="center" wrapText="1"/>
    </xf>
    <xf numFmtId="1" fontId="7" fillId="4" borderId="14" xfId="0" applyNumberFormat="1" applyFont="1" applyFill="1" applyBorder="1" applyAlignment="1">
      <alignment horizontal="right" vertical="center" wrapText="1"/>
    </xf>
    <xf numFmtId="1" fontId="7" fillId="4" borderId="0" xfId="0" applyNumberFormat="1" applyFont="1" applyFill="1" applyAlignment="1">
      <alignment horizontal="right" vertical="center" wrapText="1"/>
    </xf>
    <xf numFmtId="1" fontId="7" fillId="4" borderId="15" xfId="7" applyNumberFormat="1" applyFont="1" applyFill="1" applyBorder="1" applyAlignment="1">
      <alignment horizontal="right" vertical="center" wrapText="1"/>
    </xf>
    <xf numFmtId="0" fontId="10" fillId="0" borderId="1" xfId="0" applyFont="1" applyBorder="1" applyAlignment="1">
      <alignment horizontal="right"/>
    </xf>
    <xf numFmtId="164" fontId="14" fillId="4" borderId="0" xfId="0" applyNumberFormat="1" applyFont="1" applyFill="1" applyAlignment="1">
      <alignment horizontal="right" vertical="center" wrapText="1"/>
    </xf>
    <xf numFmtId="164" fontId="9" fillId="0" borderId="1" xfId="0" applyNumberFormat="1" applyFont="1" applyBorder="1" applyAlignment="1">
      <alignment horizontal="right" vertical="center" wrapText="1"/>
    </xf>
    <xf numFmtId="0" fontId="7" fillId="0" borderId="27" xfId="0" applyFont="1" applyBorder="1" applyAlignment="1">
      <alignment horizontal="right" vertical="center" wrapText="1"/>
    </xf>
    <xf numFmtId="0" fontId="7" fillId="0" borderId="14" xfId="0" applyFont="1" applyBorder="1" applyAlignment="1">
      <alignment horizontal="right" vertical="center" wrapText="1"/>
    </xf>
    <xf numFmtId="164" fontId="13" fillId="0" borderId="16" xfId="0" applyNumberFormat="1" applyFont="1" applyBorder="1" applyAlignment="1">
      <alignment horizontal="right" vertical="center" wrapText="1"/>
    </xf>
    <xf numFmtId="164" fontId="13" fillId="0" borderId="2" xfId="0" applyNumberFormat="1" applyFont="1" applyBorder="1" applyAlignment="1">
      <alignment horizontal="right" vertical="center" wrapText="1"/>
    </xf>
    <xf numFmtId="0" fontId="10" fillId="0" borderId="26" xfId="0" applyFont="1" applyBorder="1" applyAlignment="1">
      <alignment horizontal="right"/>
    </xf>
    <xf numFmtId="164" fontId="14" fillId="0" borderId="15" xfId="7" applyNumberFormat="1" applyFont="1" applyFill="1" applyBorder="1" applyAlignment="1">
      <alignment horizontal="right" vertical="center" wrapText="1"/>
    </xf>
    <xf numFmtId="164" fontId="14" fillId="0" borderId="9" xfId="7" applyNumberFormat="1" applyFont="1" applyFill="1" applyBorder="1" applyAlignment="1">
      <alignment horizontal="right" vertical="center" wrapText="1"/>
    </xf>
    <xf numFmtId="164" fontId="14" fillId="0" borderId="0" xfId="7" applyNumberFormat="1" applyFont="1" applyFill="1" applyBorder="1" applyAlignment="1">
      <alignment horizontal="right" vertical="center" wrapText="1"/>
    </xf>
    <xf numFmtId="10" fontId="7" fillId="4" borderId="0" xfId="7" applyNumberFormat="1" applyFont="1" applyFill="1" applyBorder="1" applyAlignment="1">
      <alignment horizontal="right" vertical="center" wrapText="1"/>
    </xf>
    <xf numFmtId="164" fontId="7" fillId="0" borderId="0" xfId="7" applyNumberFormat="1" applyFont="1" applyFill="1" applyBorder="1" applyAlignment="1">
      <alignment horizontal="right" vertical="center" wrapText="1"/>
    </xf>
    <xf numFmtId="10" fontId="9" fillId="0" borderId="1" xfId="7" applyNumberFormat="1" applyFont="1" applyFill="1" applyBorder="1" applyAlignment="1">
      <alignment horizontal="right" vertical="center" wrapText="1"/>
    </xf>
    <xf numFmtId="164" fontId="9" fillId="0" borderId="1" xfId="7" applyNumberFormat="1" applyFont="1" applyFill="1" applyBorder="1" applyAlignment="1">
      <alignment horizontal="right" vertical="center" wrapText="1"/>
    </xf>
    <xf numFmtId="164" fontId="7" fillId="4" borderId="14" xfId="7" applyNumberFormat="1" applyFont="1" applyFill="1" applyBorder="1" applyAlignment="1">
      <alignment horizontal="right" vertical="center" wrapText="1"/>
    </xf>
    <xf numFmtId="3" fontId="9" fillId="0" borderId="0" xfId="0" applyNumberFormat="1" applyFont="1" applyAlignment="1">
      <alignment horizontal="right" vertical="center" wrapText="1"/>
    </xf>
    <xf numFmtId="3" fontId="9" fillId="0" borderId="14" xfId="7" applyNumberFormat="1" applyFont="1" applyFill="1" applyBorder="1" applyAlignment="1">
      <alignment horizontal="right" vertical="center" wrapText="1"/>
    </xf>
    <xf numFmtId="164" fontId="13" fillId="0" borderId="0" xfId="7" applyNumberFormat="1" applyFont="1" applyFill="1" applyBorder="1" applyAlignment="1">
      <alignment horizontal="right" vertical="center" wrapText="1"/>
    </xf>
    <xf numFmtId="164" fontId="14" fillId="0" borderId="0" xfId="7" applyNumberFormat="1" applyFont="1" applyFill="1" applyAlignment="1">
      <alignment horizontal="right" vertical="center" wrapText="1"/>
    </xf>
    <xf numFmtId="10" fontId="9" fillId="0" borderId="25" xfId="7" applyNumberFormat="1" applyFont="1" applyFill="1" applyBorder="1" applyAlignment="1">
      <alignment horizontal="right" vertical="center" wrapText="1"/>
    </xf>
    <xf numFmtId="10" fontId="9" fillId="0" borderId="26" xfId="7" applyNumberFormat="1" applyFont="1" applyFill="1" applyBorder="1" applyAlignment="1">
      <alignment horizontal="right" vertical="center" wrapText="1"/>
    </xf>
    <xf numFmtId="164" fontId="13" fillId="0" borderId="14" xfId="7" applyNumberFormat="1" applyFont="1" applyFill="1" applyBorder="1" applyAlignment="1">
      <alignment horizontal="right" vertical="center" wrapText="1"/>
    </xf>
    <xf numFmtId="164" fontId="13" fillId="0" borderId="25" xfId="7" applyNumberFormat="1" applyFont="1" applyFill="1" applyBorder="1" applyAlignment="1">
      <alignment horizontal="right" vertical="center" wrapText="1"/>
    </xf>
    <xf numFmtId="3" fontId="7" fillId="3" borderId="27" xfId="0" applyNumberFormat="1" applyFont="1" applyFill="1" applyBorder="1" applyAlignment="1">
      <alignment horizontal="right" vertical="center" wrapText="1"/>
    </xf>
    <xf numFmtId="3" fontId="7" fillId="3" borderId="9" xfId="0" applyNumberFormat="1" applyFont="1" applyFill="1" applyBorder="1" applyAlignment="1">
      <alignment horizontal="right" vertical="center" wrapText="1"/>
    </xf>
    <xf numFmtId="164" fontId="14" fillId="3" borderId="9" xfId="7" applyNumberFormat="1" applyFont="1" applyFill="1" applyBorder="1" applyAlignment="1">
      <alignment horizontal="right" vertical="center" wrapText="1"/>
    </xf>
    <xf numFmtId="164" fontId="14" fillId="3" borderId="0" xfId="7" applyNumberFormat="1" applyFont="1" applyFill="1" applyBorder="1" applyAlignment="1">
      <alignment horizontal="right" vertical="center" wrapText="1"/>
    </xf>
    <xf numFmtId="0" fontId="7" fillId="0" borderId="25" xfId="0" applyFont="1" applyBorder="1" applyAlignment="1">
      <alignment horizontal="right" vertical="center" wrapText="1"/>
    </xf>
    <xf numFmtId="0" fontId="7" fillId="0" borderId="1" xfId="0" applyFont="1" applyBorder="1" applyAlignment="1">
      <alignment horizontal="right" vertical="center" wrapText="1"/>
    </xf>
    <xf numFmtId="3" fontId="7" fillId="4" borderId="27" xfId="0" applyNumberFormat="1" applyFont="1" applyFill="1" applyBorder="1" applyAlignment="1">
      <alignment vertical="center" wrapText="1"/>
    </xf>
    <xf numFmtId="3" fontId="7" fillId="4" borderId="9" xfId="0" applyNumberFormat="1" applyFont="1" applyFill="1" applyBorder="1" applyAlignment="1">
      <alignment vertical="center" wrapText="1"/>
    </xf>
    <xf numFmtId="164" fontId="14" fillId="4" borderId="28" xfId="7" applyNumberFormat="1" applyFont="1" applyFill="1" applyBorder="1" applyAlignment="1">
      <alignment vertical="center" wrapText="1"/>
    </xf>
    <xf numFmtId="3" fontId="7" fillId="4" borderId="0" xfId="0" applyNumberFormat="1" applyFont="1" applyFill="1" applyAlignment="1">
      <alignment vertical="center" wrapText="1"/>
    </xf>
    <xf numFmtId="164" fontId="14" fillId="4" borderId="0" xfId="7" applyNumberFormat="1" applyFont="1" applyFill="1" applyBorder="1" applyAlignment="1">
      <alignment vertical="center" wrapText="1"/>
    </xf>
    <xf numFmtId="3" fontId="7" fillId="4" borderId="14" xfId="0" applyNumberFormat="1" applyFont="1" applyFill="1" applyBorder="1" applyAlignment="1">
      <alignment vertical="center" wrapText="1"/>
    </xf>
    <xf numFmtId="164" fontId="14" fillId="4" borderId="15" xfId="7" applyNumberFormat="1" applyFont="1" applyFill="1" applyBorder="1" applyAlignment="1">
      <alignment vertical="center" wrapText="1"/>
    </xf>
    <xf numFmtId="3" fontId="9" fillId="0" borderId="25" xfId="0" applyNumberFormat="1" applyFont="1" applyBorder="1" applyAlignment="1">
      <alignment vertical="center" wrapText="1"/>
    </xf>
    <xf numFmtId="3" fontId="9" fillId="0" borderId="1" xfId="0" applyNumberFormat="1" applyFont="1" applyBorder="1" applyAlignment="1">
      <alignment vertical="center" wrapText="1"/>
    </xf>
    <xf numFmtId="164" fontId="13" fillId="0" borderId="26" xfId="7" applyNumberFormat="1" applyFont="1" applyFill="1" applyBorder="1" applyAlignment="1">
      <alignment vertical="center" wrapText="1"/>
    </xf>
    <xf numFmtId="164" fontId="13" fillId="0" borderId="1" xfId="7" applyNumberFormat="1" applyFont="1" applyFill="1" applyBorder="1" applyAlignment="1">
      <alignment vertical="center" wrapText="1"/>
    </xf>
    <xf numFmtId="0" fontId="8" fillId="6" borderId="10" xfId="0" applyFont="1" applyFill="1" applyBorder="1" applyAlignment="1">
      <alignment horizontal="center" vertical="center" wrapText="1"/>
    </xf>
    <xf numFmtId="0" fontId="8" fillId="6" borderId="4" xfId="0" applyFont="1" applyFill="1" applyBorder="1" applyAlignment="1">
      <alignment horizontal="center" vertical="center" wrapText="1"/>
    </xf>
    <xf numFmtId="4" fontId="7" fillId="0" borderId="14" xfId="0" applyNumberFormat="1" applyFont="1" applyBorder="1" applyAlignment="1">
      <alignment horizontal="right" vertical="center" wrapText="1"/>
    </xf>
    <xf numFmtId="4" fontId="7" fillId="0" borderId="0" xfId="0" applyNumberFormat="1" applyFont="1" applyAlignment="1">
      <alignment horizontal="right" vertical="center" wrapText="1"/>
    </xf>
    <xf numFmtId="4" fontId="7" fillId="0" borderId="34" xfId="0" applyNumberFormat="1" applyFont="1" applyBorder="1" applyAlignment="1">
      <alignment horizontal="right" vertical="center" wrapText="1"/>
    </xf>
    <xf numFmtId="4" fontId="7" fillId="0" borderId="35" xfId="0" applyNumberFormat="1" applyFont="1" applyBorder="1" applyAlignment="1">
      <alignment horizontal="right" vertical="center" wrapText="1"/>
    </xf>
    <xf numFmtId="0" fontId="26" fillId="0" borderId="0" xfId="0" applyFont="1" applyAlignment="1">
      <alignment horizontal="center" vertical="center" wrapText="1"/>
    </xf>
    <xf numFmtId="0" fontId="26" fillId="0" borderId="0" xfId="0" applyFont="1" applyAlignment="1">
      <alignment horizontal="right" vertical="center" wrapText="1"/>
    </xf>
    <xf numFmtId="0" fontId="25" fillId="0" borderId="0" xfId="0" applyFont="1" applyAlignment="1">
      <alignment horizontal="center" vertical="center" wrapText="1"/>
    </xf>
    <xf numFmtId="10" fontId="26" fillId="0" borderId="0" xfId="0" applyNumberFormat="1" applyFont="1" applyAlignment="1">
      <alignment horizontal="center" vertical="center" wrapText="1"/>
    </xf>
    <xf numFmtId="0" fontId="9" fillId="0" borderId="49" xfId="0" applyFont="1" applyBorder="1" applyAlignment="1">
      <alignment horizontal="center" vertical="center" wrapText="1"/>
    </xf>
    <xf numFmtId="1" fontId="9" fillId="0" borderId="51" xfId="8" applyNumberFormat="1" applyFont="1" applyFill="1" applyBorder="1" applyAlignment="1">
      <alignment horizontal="right" vertical="center" wrapText="1"/>
    </xf>
    <xf numFmtId="164" fontId="9" fillId="0" borderId="51" xfId="7" applyNumberFormat="1" applyFont="1" applyFill="1" applyBorder="1" applyAlignment="1">
      <alignment horizontal="right" vertical="center"/>
    </xf>
    <xf numFmtId="164" fontId="13" fillId="0" borderId="52" xfId="9" applyNumberFormat="1" applyFont="1" applyFill="1" applyBorder="1" applyAlignment="1">
      <alignment horizontal="right" vertical="center" wrapText="1"/>
    </xf>
    <xf numFmtId="0" fontId="7" fillId="0" borderId="22" xfId="0" applyFont="1" applyBorder="1" applyAlignment="1">
      <alignment horizontal="right" vertical="center" wrapText="1"/>
    </xf>
    <xf numFmtId="164" fontId="7" fillId="0" borderId="22" xfId="0" applyNumberFormat="1" applyFont="1" applyBorder="1" applyAlignment="1">
      <alignment horizontal="right" vertical="center" wrapText="1"/>
    </xf>
    <xf numFmtId="164" fontId="7" fillId="0" borderId="22" xfId="7" applyNumberFormat="1" applyFont="1" applyBorder="1" applyAlignment="1">
      <alignment horizontal="right" vertical="center" wrapText="1"/>
    </xf>
    <xf numFmtId="1" fontId="7" fillId="0" borderId="22" xfId="7" applyNumberFormat="1" applyFont="1" applyBorder="1" applyAlignment="1">
      <alignment horizontal="right" vertical="center" wrapText="1"/>
    </xf>
    <xf numFmtId="0" fontId="13" fillId="0" borderId="50" xfId="0" applyFont="1" applyBorder="1" applyAlignment="1">
      <alignment horizontal="right" vertical="center" wrapText="1"/>
    </xf>
    <xf numFmtId="0" fontId="14" fillId="0" borderId="52" xfId="0" applyFont="1" applyBorder="1" applyAlignment="1">
      <alignment horizontal="right" vertical="center" wrapText="1"/>
    </xf>
    <xf numFmtId="0" fontId="13" fillId="0" borderId="52" xfId="0" applyFont="1" applyBorder="1" applyAlignment="1">
      <alignment horizontal="right" vertical="center" wrapText="1"/>
    </xf>
    <xf numFmtId="0" fontId="7" fillId="0" borderId="56" xfId="0" applyFont="1" applyBorder="1" applyAlignment="1">
      <alignment horizontal="right" vertical="center" wrapText="1"/>
    </xf>
    <xf numFmtId="164" fontId="7" fillId="0" borderId="56" xfId="0" applyNumberFormat="1" applyFont="1" applyBorder="1" applyAlignment="1">
      <alignment horizontal="right" vertical="center" wrapText="1"/>
    </xf>
    <xf numFmtId="164" fontId="7" fillId="0" borderId="56" xfId="7" applyNumberFormat="1" applyFont="1" applyBorder="1" applyAlignment="1">
      <alignment horizontal="right" vertical="center" wrapText="1"/>
    </xf>
    <xf numFmtId="0" fontId="7" fillId="0" borderId="57" xfId="0" applyFont="1" applyBorder="1" applyAlignment="1">
      <alignment horizontal="right" vertical="center" wrapText="1"/>
    </xf>
    <xf numFmtId="164" fontId="7" fillId="0" borderId="57" xfId="0" applyNumberFormat="1" applyFont="1" applyBorder="1" applyAlignment="1">
      <alignment horizontal="right" vertical="center" wrapText="1"/>
    </xf>
    <xf numFmtId="1" fontId="7" fillId="0" borderId="57" xfId="7" applyNumberFormat="1" applyFont="1" applyBorder="1" applyAlignment="1">
      <alignment horizontal="right" vertical="center" wrapText="1"/>
    </xf>
    <xf numFmtId="164" fontId="7" fillId="0" borderId="57" xfId="7" applyNumberFormat="1" applyFont="1" applyBorder="1" applyAlignment="1">
      <alignment horizontal="right" vertical="center" wrapText="1"/>
    </xf>
    <xf numFmtId="0" fontId="7" fillId="0" borderId="58" xfId="0" applyFont="1" applyBorder="1" applyAlignment="1">
      <alignment horizontal="right" vertical="center" wrapText="1"/>
    </xf>
    <xf numFmtId="164" fontId="13" fillId="0" borderId="52" xfId="7" applyNumberFormat="1" applyFont="1" applyFill="1" applyBorder="1" applyAlignment="1">
      <alignment horizontal="right" vertical="center" wrapText="1"/>
    </xf>
    <xf numFmtId="0" fontId="9" fillId="0" borderId="50" xfId="0" applyFont="1" applyBorder="1" applyAlignment="1">
      <alignment vertical="center" wrapText="1"/>
    </xf>
    <xf numFmtId="1" fontId="9" fillId="0" borderId="60" xfId="0" applyNumberFormat="1" applyFont="1" applyBorder="1" applyAlignment="1">
      <alignment horizontal="right" vertical="center" wrapText="1"/>
    </xf>
    <xf numFmtId="9" fontId="9" fillId="0" borderId="60" xfId="7" applyFont="1" applyFill="1" applyBorder="1" applyAlignment="1">
      <alignment horizontal="right" vertical="center" wrapText="1"/>
    </xf>
    <xf numFmtId="164" fontId="9" fillId="0" borderId="60" xfId="7" applyNumberFormat="1" applyFont="1" applyFill="1" applyBorder="1" applyAlignment="1">
      <alignment horizontal="right" vertical="center" wrapText="1"/>
    </xf>
    <xf numFmtId="1" fontId="7" fillId="3" borderId="0" xfId="0" applyNumberFormat="1" applyFont="1" applyFill="1" applyAlignment="1">
      <alignment horizontal="left" vertical="center" wrapText="1"/>
    </xf>
    <xf numFmtId="0" fontId="7" fillId="0" borderId="50" xfId="0" applyFont="1" applyBorder="1" applyAlignment="1">
      <alignment horizontal="left" vertical="center" wrapText="1"/>
    </xf>
    <xf numFmtId="0" fontId="7" fillId="0" borderId="54" xfId="0" applyFont="1" applyBorder="1" applyAlignment="1">
      <alignment vertical="center" wrapText="1"/>
    </xf>
    <xf numFmtId="0" fontId="19" fillId="0" borderId="56" xfId="0" applyFont="1" applyBorder="1" applyAlignment="1">
      <alignment vertical="center" wrapText="1"/>
    </xf>
    <xf numFmtId="0" fontId="19" fillId="0" borderId="57" xfId="0" applyFont="1" applyBorder="1" applyAlignment="1">
      <alignment vertical="center" wrapText="1"/>
    </xf>
    <xf numFmtId="0" fontId="7" fillId="0" borderId="22" xfId="0" applyFont="1" applyBorder="1" applyAlignment="1">
      <alignment horizontal="left" vertical="center" wrapText="1"/>
    </xf>
    <xf numFmtId="0" fontId="7" fillId="3" borderId="22" xfId="0" applyFont="1" applyFill="1" applyBorder="1" applyAlignment="1">
      <alignment horizontal="right" vertical="center" wrapText="1"/>
    </xf>
    <xf numFmtId="0" fontId="10" fillId="0" borderId="61" xfId="0" applyFont="1" applyBorder="1" applyAlignment="1">
      <alignment vertical="center" wrapText="1"/>
    </xf>
    <xf numFmtId="0" fontId="14" fillId="0" borderId="59" xfId="0" applyFont="1" applyBorder="1" applyAlignment="1">
      <alignment horizontal="right" vertical="center" wrapText="1"/>
    </xf>
    <xf numFmtId="0" fontId="23" fillId="2" borderId="0" xfId="1" quotePrefix="1" applyFont="1" applyFill="1" applyAlignment="1">
      <alignment horizontal="center" vertical="center"/>
    </xf>
    <xf numFmtId="0" fontId="9" fillId="0" borderId="6" xfId="0" applyFont="1" applyBorder="1" applyAlignment="1">
      <alignment horizontal="left" vertical="center" wrapText="1"/>
    </xf>
    <xf numFmtId="0" fontId="9" fillId="0" borderId="9" xfId="0" applyFont="1" applyBorder="1" applyAlignment="1">
      <alignment horizontal="left" vertical="center" wrapText="1"/>
    </xf>
    <xf numFmtId="0" fontId="8" fillId="6" borderId="10"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8" xfId="0" applyFont="1" applyFill="1" applyBorder="1" applyAlignment="1">
      <alignment horizontal="center" vertical="center" wrapText="1"/>
    </xf>
    <xf numFmtId="0" fontId="8" fillId="6" borderId="19" xfId="0" applyFont="1" applyFill="1" applyBorder="1" applyAlignment="1">
      <alignment horizontal="center" vertical="center" wrapText="1"/>
    </xf>
    <xf numFmtId="0" fontId="9" fillId="3" borderId="39" xfId="0" applyFont="1" applyFill="1" applyBorder="1" applyAlignment="1">
      <alignment horizontal="center" vertical="center" wrapText="1"/>
    </xf>
    <xf numFmtId="0" fontId="9" fillId="3" borderId="20" xfId="0" applyFont="1" applyFill="1" applyBorder="1" applyAlignment="1">
      <alignment horizontal="center" vertical="center" wrapText="1"/>
    </xf>
    <xf numFmtId="0" fontId="8" fillId="6" borderId="40" xfId="0" applyFont="1" applyFill="1" applyBorder="1" applyAlignment="1">
      <alignment horizontal="center" vertical="center" wrapText="1"/>
    </xf>
    <xf numFmtId="0" fontId="8" fillId="6" borderId="41" xfId="0" applyFont="1" applyFill="1" applyBorder="1" applyAlignment="1">
      <alignment horizontal="center" vertical="center" wrapText="1"/>
    </xf>
    <xf numFmtId="0" fontId="8" fillId="6" borderId="42" xfId="0" applyFont="1" applyFill="1" applyBorder="1" applyAlignment="1">
      <alignment horizontal="center" vertical="center" wrapText="1"/>
    </xf>
    <xf numFmtId="0" fontId="8" fillId="6" borderId="4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9" fillId="3" borderId="0" xfId="0" applyFont="1" applyFill="1" applyAlignment="1">
      <alignment horizontal="center" vertical="center" wrapText="1"/>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7" fillId="0" borderId="3"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9" xfId="0" applyFont="1" applyBorder="1" applyAlignment="1">
      <alignment horizontal="center" vertical="center" wrapText="1"/>
    </xf>
    <xf numFmtId="0" fontId="8" fillId="6" borderId="32" xfId="0" applyFont="1" applyFill="1" applyBorder="1" applyAlignment="1">
      <alignment horizontal="center" vertical="center" wrapText="1"/>
    </xf>
    <xf numFmtId="0" fontId="8" fillId="6" borderId="29" xfId="0" applyFont="1" applyFill="1" applyBorder="1" applyAlignment="1">
      <alignment horizontal="center" vertical="center" wrapText="1"/>
    </xf>
    <xf numFmtId="0" fontId="9" fillId="0" borderId="53"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55" xfId="0" applyFont="1" applyBorder="1" applyAlignment="1">
      <alignment horizontal="center" vertical="center" wrapText="1"/>
    </xf>
    <xf numFmtId="0" fontId="0" fillId="0" borderId="55" xfId="0" applyBorder="1" applyAlignment="1">
      <alignment horizontal="center" vertical="center" wrapText="1"/>
    </xf>
    <xf numFmtId="0" fontId="9" fillId="0" borderId="0" xfId="0" applyFont="1" applyAlignment="1">
      <alignment horizontal="center" vertical="center" wrapText="1"/>
    </xf>
    <xf numFmtId="0" fontId="9" fillId="0" borderId="22" xfId="0" applyFont="1" applyBorder="1" applyAlignment="1">
      <alignment horizontal="center" vertical="center" wrapText="1"/>
    </xf>
    <xf numFmtId="0" fontId="9" fillId="0" borderId="6" xfId="0" applyFont="1" applyBorder="1" applyAlignment="1">
      <alignment horizontal="center" vertical="center" wrapText="1"/>
    </xf>
    <xf numFmtId="164" fontId="13" fillId="0" borderId="28" xfId="7" applyNumberFormat="1" applyFont="1" applyFill="1" applyBorder="1" applyAlignment="1">
      <alignment horizontal="center" vertical="center" wrapText="1"/>
    </xf>
    <xf numFmtId="164" fontId="13" fillId="0" borderId="23" xfId="7" applyNumberFormat="1" applyFont="1" applyFill="1" applyBorder="1" applyAlignment="1">
      <alignment horizontal="center" vertical="center" wrapText="1"/>
    </xf>
    <xf numFmtId="164" fontId="13" fillId="0" borderId="5" xfId="7" applyNumberFormat="1" applyFont="1" applyFill="1" applyBorder="1" applyAlignment="1">
      <alignment horizontal="center" vertical="center" wrapText="1"/>
    </xf>
    <xf numFmtId="0" fontId="9" fillId="0" borderId="13" xfId="0" applyFont="1" applyBorder="1" applyAlignment="1">
      <alignment horizontal="center" vertical="center" wrapText="1"/>
    </xf>
    <xf numFmtId="0" fontId="7" fillId="4" borderId="0" xfId="0" applyFont="1" applyFill="1" applyAlignment="1">
      <alignment horizontal="left" vertical="center" wrapText="1"/>
    </xf>
    <xf numFmtId="3" fontId="7" fillId="4" borderId="14" xfId="0" applyNumberFormat="1" applyFont="1" applyFill="1" applyBorder="1" applyAlignment="1">
      <alignment horizontal="right" vertical="center" wrapText="1"/>
    </xf>
    <xf numFmtId="3" fontId="7" fillId="4" borderId="0" xfId="0" applyNumberFormat="1" applyFont="1" applyFill="1" applyAlignment="1">
      <alignment horizontal="right" vertical="center" wrapText="1"/>
    </xf>
    <xf numFmtId="164" fontId="14" fillId="4" borderId="15" xfId="7" applyNumberFormat="1" applyFont="1" applyFill="1" applyBorder="1" applyAlignment="1">
      <alignment horizontal="right" vertical="center" wrapText="1"/>
    </xf>
    <xf numFmtId="3" fontId="7" fillId="4" borderId="27" xfId="0" applyNumberFormat="1" applyFont="1" applyFill="1" applyBorder="1" applyAlignment="1">
      <alignment horizontal="right" vertical="center" wrapText="1"/>
    </xf>
    <xf numFmtId="3" fontId="7" fillId="4" borderId="9" xfId="0" applyNumberFormat="1" applyFont="1" applyFill="1" applyBorder="1" applyAlignment="1">
      <alignment horizontal="right" vertical="center" wrapText="1"/>
    </xf>
    <xf numFmtId="164" fontId="14" fillId="4" borderId="28" xfId="7" applyNumberFormat="1" applyFont="1" applyFill="1" applyBorder="1" applyAlignment="1">
      <alignment horizontal="right" vertical="center" wrapText="1"/>
    </xf>
    <xf numFmtId="3" fontId="9" fillId="0" borderId="14" xfId="0" applyNumberFormat="1" applyFont="1" applyBorder="1" applyAlignment="1">
      <alignment horizontal="right" vertical="center" wrapText="1"/>
    </xf>
    <xf numFmtId="3" fontId="9" fillId="0" borderId="25" xfId="0" applyNumberFormat="1" applyFont="1" applyBorder="1" applyAlignment="1">
      <alignment horizontal="right" vertical="center" wrapText="1"/>
    </xf>
    <xf numFmtId="3" fontId="9" fillId="0" borderId="0" xfId="0" applyNumberFormat="1" applyFont="1" applyAlignment="1">
      <alignment horizontal="right" vertical="center" wrapText="1"/>
    </xf>
    <xf numFmtId="3" fontId="9" fillId="0" borderId="1" xfId="0" applyNumberFormat="1" applyFont="1" applyBorder="1" applyAlignment="1">
      <alignment horizontal="right" vertical="center" wrapText="1"/>
    </xf>
    <xf numFmtId="164" fontId="13" fillId="0" borderId="15" xfId="7" applyNumberFormat="1" applyFont="1" applyFill="1" applyBorder="1" applyAlignment="1">
      <alignment horizontal="right" vertical="center" wrapText="1"/>
    </xf>
    <xf numFmtId="164" fontId="13" fillId="0" borderId="26" xfId="7" applyNumberFormat="1" applyFont="1" applyFill="1" applyBorder="1" applyAlignment="1">
      <alignment horizontal="right" vertical="center" wrapText="1"/>
    </xf>
    <xf numFmtId="0" fontId="9" fillId="0" borderId="0" xfId="0" applyFont="1" applyAlignment="1">
      <alignment horizontal="left" vertical="center" wrapText="1"/>
    </xf>
    <xf numFmtId="0" fontId="9" fillId="0" borderId="1" xfId="0" applyFont="1" applyBorder="1" applyAlignment="1">
      <alignment horizontal="left" vertical="center" wrapText="1"/>
    </xf>
    <xf numFmtId="164" fontId="13" fillId="0" borderId="12" xfId="7" applyNumberFormat="1" applyFont="1" applyFill="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vertical="center"/>
    </xf>
  </cellXfs>
  <cellStyles count="10">
    <cellStyle name="Hiperligação" xfId="6" builtinId="8"/>
    <cellStyle name="Hiperligação 2" xfId="3" xr:uid="{B13A558E-940C-4DAB-B8DF-F660702686A7}"/>
    <cellStyle name="Hyperlink 3" xfId="4" xr:uid="{92D4AC8E-D197-4D91-B0D9-8E9E750CAD5C}"/>
    <cellStyle name="Normal" xfId="0" builtinId="0"/>
    <cellStyle name="Normal 10" xfId="1" xr:uid="{ECDF1A50-9387-4BEF-B5AB-34C31E87FF4E}"/>
    <cellStyle name="Normal 2 2" xfId="2" xr:uid="{291478A8-5E3E-4F76-BA7E-CB327A184E34}"/>
    <cellStyle name="Normal 2 3" xfId="5" xr:uid="{957DFF27-1C89-4BF6-977A-DFB76ACEDF11}"/>
    <cellStyle name="Percentagem" xfId="7" builtinId="5"/>
    <cellStyle name="Percentagem 2" xfId="8" xr:uid="{E04EC480-026E-4125-AE97-C0D58BD64547}"/>
    <cellStyle name="Vírgula 2" xfId="9" xr:uid="{0A864F56-6D3D-4F39-B6F1-005D8A42AB63}"/>
  </cellStyles>
  <dxfs count="0"/>
  <tableStyles count="1" defaultTableStyle="TableStyleMedium2" defaultPivotStyle="PivotStyleLight16">
    <tableStyle name="Invisible" pivot="0" table="0" count="0" xr9:uid="{63559C9D-8639-4C01-8C81-24B6BAB78903}"/>
  </tableStyles>
  <colors>
    <mruColors>
      <color rgb="FF366092"/>
      <color rgb="FF0070C0"/>
      <color rgb="FF4472C4"/>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 &#205;ndice'!A1"/></Relationships>
</file>

<file path=xl/drawings/_rels/drawing3.xml.rels><?xml version="1.0" encoding="UTF-8" standalone="yes"?>
<Relationships xmlns="http://schemas.openxmlformats.org/package/2006/relationships"><Relationship Id="rId1" Type="http://schemas.openxmlformats.org/officeDocument/2006/relationships/hyperlink" Target="#' &#205;ndice'!A1"/></Relationships>
</file>

<file path=xl/drawings/_rels/drawing4.xml.rels><?xml version="1.0" encoding="UTF-8" standalone="yes"?>
<Relationships xmlns="http://schemas.openxmlformats.org/package/2006/relationships"><Relationship Id="rId1" Type="http://schemas.openxmlformats.org/officeDocument/2006/relationships/hyperlink" Target="#' &#205;ndice'!A1"/></Relationships>
</file>

<file path=xl/drawings/_rels/drawing5.xml.rels><?xml version="1.0" encoding="UTF-8" standalone="yes"?>
<Relationships xmlns="http://schemas.openxmlformats.org/package/2006/relationships"><Relationship Id="rId1" Type="http://schemas.openxmlformats.org/officeDocument/2006/relationships/hyperlink" Target="#' &#205;ndice'!A1"/></Relationships>
</file>

<file path=xl/drawings/_rels/drawing6.xml.rels><?xml version="1.0" encoding="UTF-8" standalone="yes"?>
<Relationships xmlns="http://schemas.openxmlformats.org/package/2006/relationships"><Relationship Id="rId1" Type="http://schemas.openxmlformats.org/officeDocument/2006/relationships/hyperlink" Target="#' &#205;ndice'!A1"/></Relationships>
</file>

<file path=xl/drawings/_rels/drawing7.xml.rels><?xml version="1.0" encoding="UTF-8" standalone="yes"?>
<Relationships xmlns="http://schemas.openxmlformats.org/package/2006/relationships"><Relationship Id="rId1" Type="http://schemas.openxmlformats.org/officeDocument/2006/relationships/hyperlink" Target="#' &#205;ndice'!A1"/></Relationships>
</file>

<file path=xl/drawings/_rels/drawing8.xml.rels><?xml version="1.0" encoding="UTF-8" standalone="yes"?>
<Relationships xmlns="http://schemas.openxmlformats.org/package/2006/relationships"><Relationship Id="rId1" Type="http://schemas.openxmlformats.org/officeDocument/2006/relationships/hyperlink" Target="#' &#205;ndice'!A1"/></Relationships>
</file>

<file path=xl/drawings/_rels/drawing9.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0.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1.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2.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3.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4.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5.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6.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7.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8.xml.rels><?xml version="1.0" encoding="UTF-8" standalone="yes"?>
<Relationships xmlns="http://schemas.openxmlformats.org/package/2006/relationships"><Relationship Id="rId1" Type="http://schemas.openxmlformats.org/officeDocument/2006/relationships/hyperlink" Target="#' &#205;ndice'!A1"/></Relationships>
</file>

<file path=xl/drawings/_rels/drawing19.xml.rels><?xml version="1.0" encoding="UTF-8" standalone="yes"?>
<Relationships xmlns="http://schemas.openxmlformats.org/package/2006/relationships"><Relationship Id="rId1" Type="http://schemas.openxmlformats.org/officeDocument/2006/relationships/hyperlink" Target="#' &#205;ndice'!A1"/></Relationships>
</file>

<file path=xl/drawings/_rels/drawing20.xml.rels><?xml version="1.0" encoding="UTF-8" standalone="yes"?>
<Relationships xmlns="http://schemas.openxmlformats.org/package/2006/relationships"><Relationship Id="rId1" Type="http://schemas.openxmlformats.org/officeDocument/2006/relationships/hyperlink" Target="#' &#205;ndice'!A1"/></Relationships>
</file>

<file path=xl/drawings/_rels/drawing21.xml.rels><?xml version="1.0" encoding="UTF-8" standalone="yes"?>
<Relationships xmlns="http://schemas.openxmlformats.org/package/2006/relationships"><Relationship Id="rId1" Type="http://schemas.openxmlformats.org/officeDocument/2006/relationships/hyperlink" Target="#' &#205;ndice'!A1"/></Relationships>
</file>

<file path=xl/drawings/_rels/drawing22.xml.rels><?xml version="1.0" encoding="UTF-8" standalone="yes"?>
<Relationships xmlns="http://schemas.openxmlformats.org/package/2006/relationships"><Relationship Id="rId1" Type="http://schemas.openxmlformats.org/officeDocument/2006/relationships/hyperlink" Target="#' &#205;ndice'!A1"/></Relationships>
</file>

<file path=xl/drawings/_rels/drawing23.xml.rels><?xml version="1.0" encoding="UTF-8" standalone="yes"?>
<Relationships xmlns="http://schemas.openxmlformats.org/package/2006/relationships"><Relationship Id="rId1" Type="http://schemas.openxmlformats.org/officeDocument/2006/relationships/hyperlink" Target="#' &#205;ndice'!A1"/></Relationships>
</file>

<file path=xl/drawings/_rels/drawing24.xml.rels><?xml version="1.0" encoding="UTF-8" standalone="yes"?>
<Relationships xmlns="http://schemas.openxmlformats.org/package/2006/relationships"><Relationship Id="rId1" Type="http://schemas.openxmlformats.org/officeDocument/2006/relationships/hyperlink" Target="#' &#205;ndice'!A1"/></Relationships>
</file>

<file path=xl/drawings/drawing1.xml><?xml version="1.0" encoding="utf-8"?>
<xdr:wsDr xmlns:xdr="http://schemas.openxmlformats.org/drawingml/2006/spreadsheetDrawing" xmlns:a="http://schemas.openxmlformats.org/drawingml/2006/main">
  <xdr:twoCellAnchor editAs="oneCell">
    <xdr:from>
      <xdr:col>0</xdr:col>
      <xdr:colOff>59532</xdr:colOff>
      <xdr:row>0</xdr:row>
      <xdr:rowOff>35718</xdr:rowOff>
    </xdr:from>
    <xdr:to>
      <xdr:col>1</xdr:col>
      <xdr:colOff>1227405</xdr:colOff>
      <xdr:row>5</xdr:row>
      <xdr:rowOff>23812</xdr:rowOff>
    </xdr:to>
    <xdr:pic>
      <xdr:nvPicPr>
        <xdr:cNvPr id="2" name="Picture 3" descr="Logo A-F 2">
          <a:extLst>
            <a:ext uri="{FF2B5EF4-FFF2-40B4-BE49-F238E27FC236}">
              <a16:creationId xmlns:a16="http://schemas.microsoft.com/office/drawing/2014/main" id="{5F0FBA60-3A27-4C54-890C-62742F4B7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2" y="35718"/>
          <a:ext cx="1244073" cy="61674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445477</xdr:colOff>
      <xdr:row>9</xdr:row>
      <xdr:rowOff>164123</xdr:rowOff>
    </xdr:from>
    <xdr:to>
      <xdr:col>13</xdr:col>
      <xdr:colOff>13327</xdr:colOff>
      <xdr:row>11</xdr:row>
      <xdr:rowOff>29873</xdr:rowOff>
    </xdr:to>
    <xdr:sp macro="" textlink="">
      <xdr:nvSpPr>
        <xdr:cNvPr id="3" name="Seta: Para a Esquerda 2">
          <a:hlinkClick xmlns:r="http://schemas.openxmlformats.org/officeDocument/2006/relationships" r:id="rId1"/>
          <a:extLst>
            <a:ext uri="{FF2B5EF4-FFF2-40B4-BE49-F238E27FC236}">
              <a16:creationId xmlns:a16="http://schemas.microsoft.com/office/drawing/2014/main" id="{2963278D-CE8D-4CA3-B73B-11AE0201DC55}"/>
            </a:ext>
          </a:extLst>
        </xdr:cNvPr>
        <xdr:cNvSpPr/>
      </xdr:nvSpPr>
      <xdr:spPr>
        <a:xfrm>
          <a:off x="6932002" y="2278673"/>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409576</xdr:colOff>
      <xdr:row>9</xdr:row>
      <xdr:rowOff>133350</xdr:rowOff>
    </xdr:from>
    <xdr:to>
      <xdr:col>12</xdr:col>
      <xdr:colOff>501301</xdr:colOff>
      <xdr:row>10</xdr:row>
      <xdr:rowOff>237225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CD506F65-ED56-46DE-A892-304AD556C59F}"/>
            </a:ext>
          </a:extLst>
        </xdr:cNvPr>
        <xdr:cNvSpPr/>
      </xdr:nvSpPr>
      <xdr:spPr>
        <a:xfrm>
          <a:off x="6896101" y="225742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533401</xdr:colOff>
      <xdr:row>15</xdr:row>
      <xdr:rowOff>104775</xdr:rowOff>
    </xdr:from>
    <xdr:to>
      <xdr:col>8</xdr:col>
      <xdr:colOff>590550</xdr:colOff>
      <xdr:row>16</xdr:row>
      <xdr:rowOff>208650</xdr:rowOff>
    </xdr:to>
    <xdr:sp macro="" textlink="">
      <xdr:nvSpPr>
        <xdr:cNvPr id="3" name="Seta: Para a Esquerda 2">
          <a:hlinkClick xmlns:r="http://schemas.openxmlformats.org/officeDocument/2006/relationships" r:id="rId1"/>
          <a:extLst>
            <a:ext uri="{FF2B5EF4-FFF2-40B4-BE49-F238E27FC236}">
              <a16:creationId xmlns:a16="http://schemas.microsoft.com/office/drawing/2014/main" id="{B772BB15-5AE2-45DC-AE85-F5C19EFF7249}"/>
            </a:ext>
          </a:extLst>
        </xdr:cNvPr>
        <xdr:cNvSpPr/>
      </xdr:nvSpPr>
      <xdr:spPr>
        <a:xfrm>
          <a:off x="5695951" y="3638550"/>
          <a:ext cx="676274"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457200</xdr:colOff>
      <xdr:row>31</xdr:row>
      <xdr:rowOff>180975</xdr:rowOff>
    </xdr:from>
    <xdr:to>
      <xdr:col>13</xdr:col>
      <xdr:colOff>25050</xdr:colOff>
      <xdr:row>33</xdr:row>
      <xdr:rowOff>46725</xdr:rowOff>
    </xdr:to>
    <xdr:sp macro="" textlink="">
      <xdr:nvSpPr>
        <xdr:cNvPr id="3" name="Seta: Para a Esquerda 2">
          <a:hlinkClick xmlns:r="http://schemas.openxmlformats.org/officeDocument/2006/relationships" r:id="rId1"/>
          <a:extLst>
            <a:ext uri="{FF2B5EF4-FFF2-40B4-BE49-F238E27FC236}">
              <a16:creationId xmlns:a16="http://schemas.microsoft.com/office/drawing/2014/main" id="{32CAD460-9AE0-465D-B8F7-0FEA19933B7E}"/>
            </a:ext>
          </a:extLst>
        </xdr:cNvPr>
        <xdr:cNvSpPr/>
      </xdr:nvSpPr>
      <xdr:spPr>
        <a:xfrm>
          <a:off x="6943725" y="477202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438150</xdr:colOff>
      <xdr:row>13</xdr:row>
      <xdr:rowOff>104775</xdr:rowOff>
    </xdr:from>
    <xdr:to>
      <xdr:col>13</xdr:col>
      <xdr:colOff>6000</xdr:colOff>
      <xdr:row>14</xdr:row>
      <xdr:rowOff>208650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46511E7A-0212-4806-8CBE-B46C2FAF5EDA}"/>
            </a:ext>
          </a:extLst>
        </xdr:cNvPr>
        <xdr:cNvSpPr/>
      </xdr:nvSpPr>
      <xdr:spPr>
        <a:xfrm>
          <a:off x="6924675" y="317182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419099</xdr:colOff>
      <xdr:row>14</xdr:row>
      <xdr:rowOff>95250</xdr:rowOff>
    </xdr:from>
    <xdr:to>
      <xdr:col>12</xdr:col>
      <xdr:colOff>510824</xdr:colOff>
      <xdr:row>15</xdr:row>
      <xdr:rowOff>161925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0609845F-F3C7-4959-8B27-AFA3AA1986D4}"/>
            </a:ext>
          </a:extLst>
        </xdr:cNvPr>
        <xdr:cNvSpPr/>
      </xdr:nvSpPr>
      <xdr:spPr>
        <a:xfrm>
          <a:off x="6905624" y="3419475"/>
          <a:ext cx="615600" cy="3048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438149</xdr:colOff>
      <xdr:row>14</xdr:row>
      <xdr:rowOff>95250</xdr:rowOff>
    </xdr:from>
    <xdr:to>
      <xdr:col>13</xdr:col>
      <xdr:colOff>5999</xdr:colOff>
      <xdr:row>15</xdr:row>
      <xdr:rowOff>199125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05DB59DF-448D-4E11-A8E2-618E04B8D146}"/>
            </a:ext>
          </a:extLst>
        </xdr:cNvPr>
        <xdr:cNvSpPr/>
      </xdr:nvSpPr>
      <xdr:spPr>
        <a:xfrm>
          <a:off x="7029449" y="3181350"/>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457200</xdr:colOff>
      <xdr:row>19</xdr:row>
      <xdr:rowOff>133350</xdr:rowOff>
    </xdr:from>
    <xdr:to>
      <xdr:col>16</xdr:col>
      <xdr:colOff>25050</xdr:colOff>
      <xdr:row>20</xdr:row>
      <xdr:rowOff>237225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740B75A2-F2FA-4B6D-B470-12D7A6FE9446}"/>
            </a:ext>
          </a:extLst>
        </xdr:cNvPr>
        <xdr:cNvSpPr/>
      </xdr:nvSpPr>
      <xdr:spPr>
        <a:xfrm>
          <a:off x="8515350" y="463867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438149</xdr:colOff>
      <xdr:row>17</xdr:row>
      <xdr:rowOff>133350</xdr:rowOff>
    </xdr:from>
    <xdr:to>
      <xdr:col>16</xdr:col>
      <xdr:colOff>5999</xdr:colOff>
      <xdr:row>18</xdr:row>
      <xdr:rowOff>237225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54C17ECC-7BAE-4D55-AB54-4D10FD30AE16}"/>
            </a:ext>
          </a:extLst>
        </xdr:cNvPr>
        <xdr:cNvSpPr/>
      </xdr:nvSpPr>
      <xdr:spPr>
        <a:xfrm>
          <a:off x="8724899" y="4152900"/>
          <a:ext cx="615600" cy="342000"/>
        </a:xfrm>
        <a:prstGeom prst="leftArrow">
          <a:avLst>
            <a:gd name="adj1" fmla="val 50000"/>
            <a:gd name="adj2" fmla="val 44430"/>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333374</xdr:colOff>
      <xdr:row>30</xdr:row>
      <xdr:rowOff>114300</xdr:rowOff>
    </xdr:from>
    <xdr:to>
      <xdr:col>15</xdr:col>
      <xdr:colOff>425099</xdr:colOff>
      <xdr:row>32</xdr:row>
      <xdr:rowOff>75300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DDF490E8-2A75-4355-917D-CE065E6C1381}"/>
            </a:ext>
          </a:extLst>
        </xdr:cNvPr>
        <xdr:cNvSpPr/>
      </xdr:nvSpPr>
      <xdr:spPr>
        <a:xfrm>
          <a:off x="8391524" y="7410450"/>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428624</xdr:colOff>
      <xdr:row>26</xdr:row>
      <xdr:rowOff>85725</xdr:rowOff>
    </xdr:from>
    <xdr:to>
      <xdr:col>12</xdr:col>
      <xdr:colOff>520349</xdr:colOff>
      <xdr:row>27</xdr:row>
      <xdr:rowOff>189600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3F27AE7D-ED04-4D4A-982F-23B5D0F5A655}"/>
            </a:ext>
          </a:extLst>
        </xdr:cNvPr>
        <xdr:cNvSpPr/>
      </xdr:nvSpPr>
      <xdr:spPr>
        <a:xfrm>
          <a:off x="6915149" y="564832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428625</xdr:colOff>
      <xdr:row>19</xdr:row>
      <xdr:rowOff>104775</xdr:rowOff>
    </xdr:from>
    <xdr:to>
      <xdr:col>9</xdr:col>
      <xdr:colOff>520350</xdr:colOff>
      <xdr:row>20</xdr:row>
      <xdr:rowOff>208650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28B8520F-F681-4305-95FF-EA46B97493F6}"/>
            </a:ext>
          </a:extLst>
        </xdr:cNvPr>
        <xdr:cNvSpPr/>
      </xdr:nvSpPr>
      <xdr:spPr>
        <a:xfrm>
          <a:off x="5343525" y="4610100"/>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13</xdr:row>
      <xdr:rowOff>171450</xdr:rowOff>
    </xdr:from>
    <xdr:to>
      <xdr:col>5</xdr:col>
      <xdr:colOff>615600</xdr:colOff>
      <xdr:row>15</xdr:row>
      <xdr:rowOff>37200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F0085730-9CE6-42E9-8827-710BCFB4E40F}"/>
            </a:ext>
          </a:extLst>
        </xdr:cNvPr>
        <xdr:cNvSpPr/>
      </xdr:nvSpPr>
      <xdr:spPr>
        <a:xfrm>
          <a:off x="3838575" y="3257550"/>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447674</xdr:colOff>
      <xdr:row>30</xdr:row>
      <xdr:rowOff>190500</xdr:rowOff>
    </xdr:from>
    <xdr:to>
      <xdr:col>13</xdr:col>
      <xdr:colOff>15524</xdr:colOff>
      <xdr:row>32</xdr:row>
      <xdr:rowOff>56250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57D5ECDF-42C0-47C7-A2A3-DD6B550BFF9E}"/>
            </a:ext>
          </a:extLst>
        </xdr:cNvPr>
        <xdr:cNvSpPr/>
      </xdr:nvSpPr>
      <xdr:spPr>
        <a:xfrm>
          <a:off x="6934199" y="6972300"/>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133350</xdr:colOff>
      <xdr:row>28</xdr:row>
      <xdr:rowOff>180975</xdr:rowOff>
    </xdr:from>
    <xdr:to>
      <xdr:col>6</xdr:col>
      <xdr:colOff>723349</xdr:colOff>
      <xdr:row>30</xdr:row>
      <xdr:rowOff>143478</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6E80DDFD-AAB3-4563-A451-21E1B52D3582}"/>
            </a:ext>
          </a:extLst>
        </xdr:cNvPr>
        <xdr:cNvSpPr/>
      </xdr:nvSpPr>
      <xdr:spPr>
        <a:xfrm>
          <a:off x="9382125" y="4086225"/>
          <a:ext cx="589999" cy="305403"/>
        </a:xfrm>
        <a:prstGeom prst="leftArrow">
          <a:avLst/>
        </a:prstGeom>
        <a:solidFill>
          <a:sysClr val="window" lastClr="FFFFFF">
            <a:lumMod val="85000"/>
          </a:sysClr>
        </a:solidFill>
        <a:ln w="12700" cap="flat" cmpd="sng" algn="ctr">
          <a:solidFill>
            <a:srgbClr val="00206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PT" sz="8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47625</xdr:colOff>
      <xdr:row>10</xdr:row>
      <xdr:rowOff>161925</xdr:rowOff>
    </xdr:from>
    <xdr:to>
      <xdr:col>9</xdr:col>
      <xdr:colOff>663225</xdr:colOff>
      <xdr:row>12</xdr:row>
      <xdr:rowOff>27675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3113D9D4-48F0-49A2-9380-BC44FD183D45}"/>
            </a:ext>
          </a:extLst>
        </xdr:cNvPr>
        <xdr:cNvSpPr/>
      </xdr:nvSpPr>
      <xdr:spPr>
        <a:xfrm>
          <a:off x="6981825" y="265747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9</xdr:col>
      <xdr:colOff>85724</xdr:colOff>
      <xdr:row>10</xdr:row>
      <xdr:rowOff>114300</xdr:rowOff>
    </xdr:from>
    <xdr:to>
      <xdr:col>9</xdr:col>
      <xdr:colOff>701324</xdr:colOff>
      <xdr:row>12</xdr:row>
      <xdr:rowOff>114300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941F6C42-E71E-427F-A6C6-1560B56ADA4A}"/>
            </a:ext>
          </a:extLst>
        </xdr:cNvPr>
        <xdr:cNvSpPr/>
      </xdr:nvSpPr>
      <xdr:spPr>
        <a:xfrm>
          <a:off x="7581899" y="2628900"/>
          <a:ext cx="615600" cy="314325"/>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219074</xdr:colOff>
      <xdr:row>14</xdr:row>
      <xdr:rowOff>133350</xdr:rowOff>
    </xdr:from>
    <xdr:to>
      <xdr:col>3</xdr:col>
      <xdr:colOff>834674</xdr:colOff>
      <xdr:row>15</xdr:row>
      <xdr:rowOff>237225</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16F8280F-04F2-40E9-BAD8-B9E31E555C7A}"/>
            </a:ext>
          </a:extLst>
        </xdr:cNvPr>
        <xdr:cNvSpPr/>
      </xdr:nvSpPr>
      <xdr:spPr>
        <a:xfrm>
          <a:off x="4067174" y="3438525"/>
          <a:ext cx="615600" cy="342000"/>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256636</xdr:colOff>
      <xdr:row>16</xdr:row>
      <xdr:rowOff>116994</xdr:rowOff>
    </xdr:from>
    <xdr:to>
      <xdr:col>8</xdr:col>
      <xdr:colOff>24511</xdr:colOff>
      <xdr:row>18</xdr:row>
      <xdr:rowOff>89857</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A85BBFD9-7727-4137-8FDB-C654B1A4A3FE}"/>
            </a:ext>
          </a:extLst>
        </xdr:cNvPr>
        <xdr:cNvSpPr/>
      </xdr:nvSpPr>
      <xdr:spPr>
        <a:xfrm>
          <a:off x="6771377" y="4070768"/>
          <a:ext cx="612544" cy="296353"/>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7</xdr:col>
      <xdr:colOff>219075</xdr:colOff>
      <xdr:row>8</xdr:row>
      <xdr:rowOff>152400</xdr:rowOff>
    </xdr:from>
    <xdr:to>
      <xdr:col>7</xdr:col>
      <xdr:colOff>834675</xdr:colOff>
      <xdr:row>10</xdr:row>
      <xdr:rowOff>19049</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64BF4083-221A-47FD-B5A6-19311FA5C6D1}"/>
            </a:ext>
          </a:extLst>
        </xdr:cNvPr>
        <xdr:cNvSpPr/>
      </xdr:nvSpPr>
      <xdr:spPr>
        <a:xfrm>
          <a:off x="6619875" y="2257425"/>
          <a:ext cx="615600" cy="342899"/>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95250</xdr:colOff>
      <xdr:row>9</xdr:row>
      <xdr:rowOff>161925</xdr:rowOff>
    </xdr:from>
    <xdr:to>
      <xdr:col>3</xdr:col>
      <xdr:colOff>710850</xdr:colOff>
      <xdr:row>11</xdr:row>
      <xdr:rowOff>28574</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1219FAE8-3F7A-4D1C-8798-9989AC51C2F8}"/>
            </a:ext>
          </a:extLst>
        </xdr:cNvPr>
        <xdr:cNvSpPr/>
      </xdr:nvSpPr>
      <xdr:spPr>
        <a:xfrm>
          <a:off x="3838575" y="2295525"/>
          <a:ext cx="615600" cy="342899"/>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790575</xdr:colOff>
      <xdr:row>19</xdr:row>
      <xdr:rowOff>95249</xdr:rowOff>
    </xdr:from>
    <xdr:to>
      <xdr:col>1</xdr:col>
      <xdr:colOff>1495425</xdr:colOff>
      <xdr:row>21</xdr:row>
      <xdr:rowOff>9525</xdr:rowOff>
    </xdr:to>
    <xdr:sp macro="" textlink="">
      <xdr:nvSpPr>
        <xdr:cNvPr id="3" name="Seta: Para a Esquerda 2">
          <a:hlinkClick xmlns:r="http://schemas.openxmlformats.org/officeDocument/2006/relationships" r:id="rId1"/>
          <a:extLst>
            <a:ext uri="{FF2B5EF4-FFF2-40B4-BE49-F238E27FC236}">
              <a16:creationId xmlns:a16="http://schemas.microsoft.com/office/drawing/2014/main" id="{CCF5AF32-C87E-496A-B2B3-C40FF9A858A8}"/>
            </a:ext>
          </a:extLst>
        </xdr:cNvPr>
        <xdr:cNvSpPr/>
      </xdr:nvSpPr>
      <xdr:spPr>
        <a:xfrm>
          <a:off x="2600325" y="4305299"/>
          <a:ext cx="704850" cy="361951"/>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466725</xdr:colOff>
      <xdr:row>6</xdr:row>
      <xdr:rowOff>152400</xdr:rowOff>
    </xdr:from>
    <xdr:to>
      <xdr:col>11</xdr:col>
      <xdr:colOff>548924</xdr:colOff>
      <xdr:row>8</xdr:row>
      <xdr:rowOff>19049</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CFCAE243-5654-4089-9325-0F3118B6A042}"/>
            </a:ext>
          </a:extLst>
        </xdr:cNvPr>
        <xdr:cNvSpPr/>
      </xdr:nvSpPr>
      <xdr:spPr>
        <a:xfrm>
          <a:off x="7334250" y="1647825"/>
          <a:ext cx="691799" cy="342899"/>
        </a:xfrm>
        <a:prstGeom prst="leftArrow">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800" b="0">
              <a:solidFill>
                <a:sysClr val="windowText" lastClr="000000"/>
              </a:solidFill>
              <a:latin typeface="Arial" panose="020B0604020202020204" pitchFamily="34" charset="0"/>
              <a:cs typeface="Arial" panose="020B0604020202020204" pitchFamily="34"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ANSRARQ01\nep$\GER\Boletim%20Trim.%20Conjuntura\Boletim%2098%204&#186;Trim\Regional\I%20-%20Pre&#231;os\QuadrosIP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x média"/>
      <sheetName val="Tx homóloga"/>
      <sheetName val="Tx mensal"/>
      <sheetName val="índices"/>
      <sheetName val="Graf1"/>
      <sheetName val="Graf2"/>
      <sheetName val="Graf3"/>
      <sheetName val="Graf4"/>
      <sheetName val="Graf5"/>
      <sheetName val="Graf6"/>
      <sheetName val="Quadro1"/>
      <sheetName val="Quadro2"/>
      <sheetName val="Qnorte"/>
      <sheetName val="Module1"/>
      <sheetName val="Quadro"/>
      <sheetName val="Graf2 exp"/>
      <sheetName val="Figura_30"/>
      <sheetName val="Figura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B1CE-440F-4C5E-B9DA-F7FF060DB314}">
  <sheetPr>
    <pageSetUpPr fitToPage="1"/>
  </sheetPr>
  <dimension ref="B1:IW54"/>
  <sheetViews>
    <sheetView showGridLines="0" tabSelected="1" zoomScaleNormal="100" workbookViewId="0"/>
  </sheetViews>
  <sheetFormatPr defaultColWidth="9.140625" defaultRowHeight="15" x14ac:dyDescent="0.25"/>
  <cols>
    <col min="1" max="1" width="1.140625" style="63" customWidth="1"/>
    <col min="2" max="2" width="115.5703125" style="63" customWidth="1"/>
    <col min="3" max="3" width="2.28515625" style="63" customWidth="1"/>
    <col min="4" max="4" width="3.140625" style="63" customWidth="1"/>
    <col min="5" max="16384" width="9.140625" style="63"/>
  </cols>
  <sheetData>
    <row r="1" spans="2:257" ht="4.5" customHeight="1" x14ac:dyDescent="0.25"/>
    <row r="2" spans="2:257" ht="18.95" customHeight="1" x14ac:dyDescent="0.25">
      <c r="B2" s="83" t="s">
        <v>163</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c r="HV2" s="64"/>
      <c r="HW2" s="64"/>
      <c r="HX2" s="64"/>
      <c r="HY2" s="64"/>
      <c r="HZ2" s="64"/>
      <c r="IA2" s="64"/>
      <c r="IB2" s="64"/>
      <c r="IC2" s="64"/>
      <c r="ID2" s="64"/>
      <c r="IE2" s="64"/>
      <c r="IF2" s="64"/>
      <c r="IG2" s="64"/>
      <c r="IH2" s="64"/>
      <c r="II2" s="64"/>
      <c r="IJ2" s="64"/>
      <c r="IK2" s="64"/>
      <c r="IL2" s="64"/>
      <c r="IM2" s="64"/>
      <c r="IN2" s="64"/>
      <c r="IO2" s="64"/>
      <c r="IP2" s="64"/>
      <c r="IQ2" s="64"/>
      <c r="IR2" s="64"/>
      <c r="IS2" s="64"/>
      <c r="IT2" s="64"/>
      <c r="IU2" s="64"/>
      <c r="IV2" s="64"/>
      <c r="IW2" s="64"/>
    </row>
    <row r="3" spans="2:257" ht="3" customHeight="1" x14ac:dyDescent="0.25">
      <c r="B3" s="65"/>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64"/>
      <c r="BY3" s="64"/>
      <c r="BZ3" s="64"/>
      <c r="CA3" s="64"/>
      <c r="CB3" s="64"/>
      <c r="CC3" s="64"/>
      <c r="CD3" s="64"/>
      <c r="CE3" s="64"/>
      <c r="CF3" s="64"/>
      <c r="CG3" s="64"/>
      <c r="CH3" s="64"/>
      <c r="CI3" s="64"/>
      <c r="CJ3" s="64"/>
      <c r="CK3" s="64"/>
      <c r="CL3" s="64"/>
      <c r="CM3" s="64"/>
      <c r="CN3" s="64"/>
      <c r="CO3" s="64"/>
      <c r="CP3" s="64"/>
      <c r="CQ3" s="64"/>
      <c r="CR3" s="64"/>
      <c r="CS3" s="64"/>
      <c r="CT3" s="64"/>
      <c r="CU3" s="64"/>
      <c r="CV3" s="64"/>
      <c r="CW3" s="64"/>
      <c r="CX3" s="64"/>
      <c r="CY3" s="64"/>
      <c r="CZ3" s="64"/>
      <c r="DA3" s="64"/>
      <c r="DB3" s="64"/>
      <c r="DC3" s="64"/>
      <c r="DD3" s="64"/>
      <c r="DE3" s="64"/>
      <c r="DF3" s="64"/>
      <c r="DG3" s="64"/>
      <c r="DH3" s="64"/>
      <c r="DI3" s="64"/>
      <c r="DJ3" s="64"/>
      <c r="DK3" s="64"/>
      <c r="DL3" s="64"/>
      <c r="DM3" s="64"/>
      <c r="DN3" s="64"/>
      <c r="DO3" s="64"/>
      <c r="DP3" s="64"/>
      <c r="DQ3" s="64"/>
      <c r="DR3" s="64"/>
      <c r="DS3" s="64"/>
      <c r="DT3" s="64"/>
      <c r="DU3" s="64"/>
      <c r="DV3" s="64"/>
      <c r="DW3" s="64"/>
      <c r="DX3" s="64"/>
      <c r="DY3" s="64"/>
      <c r="DZ3" s="64"/>
      <c r="EA3" s="64"/>
      <c r="EB3" s="64"/>
      <c r="EC3" s="64"/>
      <c r="ED3" s="64"/>
      <c r="EE3" s="64"/>
      <c r="EF3" s="64"/>
      <c r="EG3" s="64"/>
      <c r="EH3" s="64"/>
      <c r="EI3" s="64"/>
      <c r="EJ3" s="64"/>
      <c r="EK3" s="64"/>
      <c r="EL3" s="64"/>
      <c r="EM3" s="64"/>
      <c r="EN3" s="64"/>
      <c r="EO3" s="64"/>
      <c r="EP3" s="64"/>
      <c r="EQ3" s="64"/>
      <c r="ER3" s="64"/>
      <c r="ES3" s="64"/>
      <c r="ET3" s="64"/>
      <c r="EU3" s="64"/>
      <c r="EV3" s="64"/>
      <c r="EW3" s="64"/>
      <c r="EX3" s="64"/>
      <c r="EY3" s="64"/>
      <c r="EZ3" s="64"/>
      <c r="FA3" s="64"/>
      <c r="FB3" s="64"/>
      <c r="FC3" s="64"/>
      <c r="FD3" s="64"/>
      <c r="FE3" s="64"/>
      <c r="FF3" s="64"/>
      <c r="FG3" s="64"/>
      <c r="FH3" s="64"/>
      <c r="FI3" s="64"/>
      <c r="FJ3" s="64"/>
      <c r="FK3" s="64"/>
      <c r="FL3" s="64"/>
      <c r="FM3" s="64"/>
      <c r="FN3" s="64"/>
      <c r="FO3" s="64"/>
      <c r="FP3" s="64"/>
      <c r="FQ3" s="64"/>
      <c r="FR3" s="64"/>
      <c r="FS3" s="64"/>
      <c r="FT3" s="64"/>
      <c r="FU3" s="64"/>
      <c r="FV3" s="64"/>
      <c r="FW3" s="64"/>
      <c r="FX3" s="64"/>
      <c r="FY3" s="64"/>
      <c r="FZ3" s="64"/>
      <c r="GA3" s="64"/>
      <c r="GB3" s="64"/>
      <c r="GC3" s="64"/>
      <c r="GD3" s="64"/>
      <c r="GE3" s="64"/>
      <c r="GF3" s="64"/>
      <c r="GG3" s="64"/>
      <c r="GH3" s="64"/>
      <c r="GI3" s="64"/>
      <c r="GJ3" s="64"/>
      <c r="GK3" s="64"/>
      <c r="GL3" s="64"/>
      <c r="GM3" s="64"/>
      <c r="GN3" s="64"/>
      <c r="GO3" s="64"/>
      <c r="GP3" s="64"/>
      <c r="GQ3" s="64"/>
      <c r="GR3" s="64"/>
      <c r="GS3" s="64"/>
      <c r="GT3" s="64"/>
      <c r="GU3" s="64"/>
      <c r="GV3" s="64"/>
      <c r="GW3" s="64"/>
      <c r="GX3" s="64"/>
      <c r="GY3" s="64"/>
      <c r="GZ3" s="64"/>
      <c r="HA3" s="64"/>
      <c r="HB3" s="64"/>
      <c r="HC3" s="64"/>
      <c r="HD3" s="64"/>
      <c r="HE3" s="64"/>
      <c r="HF3" s="64"/>
      <c r="HG3" s="64"/>
      <c r="HH3" s="64"/>
      <c r="HI3" s="64"/>
      <c r="HJ3" s="64"/>
      <c r="HK3" s="64"/>
      <c r="HL3" s="64"/>
      <c r="HM3" s="64"/>
      <c r="HN3" s="64"/>
      <c r="HO3" s="64"/>
      <c r="HP3" s="64"/>
      <c r="HQ3" s="64"/>
      <c r="HR3" s="64"/>
      <c r="HS3" s="64"/>
      <c r="HT3" s="64"/>
      <c r="HU3" s="64"/>
      <c r="HV3" s="64"/>
      <c r="HW3" s="64"/>
      <c r="HX3" s="64"/>
      <c r="HY3" s="64"/>
      <c r="HZ3" s="64"/>
      <c r="IA3" s="64"/>
      <c r="IB3" s="64"/>
      <c r="IC3" s="64"/>
      <c r="ID3" s="64"/>
      <c r="IE3" s="64"/>
      <c r="IF3" s="64"/>
      <c r="IG3" s="64"/>
      <c r="IH3" s="64"/>
      <c r="II3" s="64"/>
      <c r="IJ3" s="64"/>
      <c r="IK3" s="64"/>
      <c r="IL3" s="64"/>
      <c r="IM3" s="64"/>
      <c r="IN3" s="64"/>
      <c r="IO3" s="64"/>
      <c r="IP3" s="64"/>
      <c r="IQ3" s="64"/>
      <c r="IR3" s="64"/>
      <c r="IS3" s="64"/>
      <c r="IT3" s="64"/>
      <c r="IU3" s="64"/>
      <c r="IV3" s="64"/>
      <c r="IW3" s="64"/>
    </row>
    <row r="4" spans="2:257" ht="18.95" customHeight="1" x14ac:dyDescent="0.25">
      <c r="B4" s="84" t="s">
        <v>234</v>
      </c>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c r="CY4" s="64"/>
      <c r="CZ4" s="64"/>
      <c r="DA4" s="64"/>
      <c r="DB4" s="64"/>
      <c r="DC4" s="64"/>
      <c r="DD4" s="64"/>
      <c r="DE4" s="64"/>
      <c r="DF4" s="64"/>
      <c r="DG4" s="64"/>
      <c r="DH4" s="64"/>
      <c r="DI4" s="64"/>
      <c r="DJ4" s="64"/>
      <c r="DK4" s="64"/>
      <c r="DL4" s="64"/>
      <c r="DM4" s="64"/>
      <c r="DN4" s="64"/>
      <c r="DO4" s="64"/>
      <c r="DP4" s="64"/>
      <c r="DQ4" s="64"/>
      <c r="DR4" s="64"/>
      <c r="DS4" s="64"/>
      <c r="DT4" s="64"/>
      <c r="DU4" s="64"/>
      <c r="DV4" s="64"/>
      <c r="DW4" s="64"/>
      <c r="DX4" s="64"/>
      <c r="DY4" s="64"/>
      <c r="DZ4" s="64"/>
      <c r="EA4" s="64"/>
      <c r="EB4" s="64"/>
      <c r="EC4" s="64"/>
      <c r="ED4" s="64"/>
      <c r="EE4" s="64"/>
      <c r="EF4" s="64"/>
      <c r="EG4" s="64"/>
      <c r="EH4" s="64"/>
      <c r="EI4" s="64"/>
      <c r="EJ4" s="64"/>
      <c r="EK4" s="64"/>
      <c r="EL4" s="64"/>
      <c r="EM4" s="64"/>
      <c r="EN4" s="64"/>
      <c r="EO4" s="64"/>
      <c r="EP4" s="64"/>
      <c r="EQ4" s="64"/>
      <c r="ER4" s="64"/>
      <c r="ES4" s="64"/>
      <c r="ET4" s="64"/>
      <c r="EU4" s="64"/>
      <c r="EV4" s="64"/>
      <c r="EW4" s="64"/>
      <c r="EX4" s="64"/>
      <c r="EY4" s="64"/>
      <c r="EZ4" s="64"/>
      <c r="FA4" s="64"/>
      <c r="FB4" s="64"/>
      <c r="FC4" s="64"/>
      <c r="FD4" s="64"/>
      <c r="FE4" s="64"/>
      <c r="FF4" s="64"/>
      <c r="FG4" s="64"/>
      <c r="FH4" s="64"/>
      <c r="FI4" s="64"/>
      <c r="FJ4" s="64"/>
      <c r="FK4" s="64"/>
      <c r="FL4" s="64"/>
      <c r="FM4" s="64"/>
      <c r="FN4" s="64"/>
      <c r="FO4" s="64"/>
      <c r="FP4" s="64"/>
      <c r="FQ4" s="64"/>
      <c r="FR4" s="64"/>
      <c r="FS4" s="64"/>
      <c r="FT4" s="64"/>
      <c r="FU4" s="64"/>
      <c r="FV4" s="64"/>
      <c r="FW4" s="64"/>
      <c r="FX4" s="64"/>
      <c r="FY4" s="64"/>
      <c r="FZ4" s="64"/>
      <c r="GA4" s="64"/>
      <c r="GB4" s="64"/>
      <c r="GC4" s="64"/>
      <c r="GD4" s="64"/>
      <c r="GE4" s="64"/>
      <c r="GF4" s="64"/>
      <c r="GG4" s="64"/>
      <c r="GH4" s="64"/>
      <c r="GI4" s="64"/>
      <c r="GJ4" s="64"/>
      <c r="GK4" s="64"/>
      <c r="GL4" s="64"/>
      <c r="GM4" s="64"/>
      <c r="GN4" s="64"/>
      <c r="GO4" s="64"/>
      <c r="GP4" s="64"/>
      <c r="GQ4" s="64"/>
      <c r="GR4" s="64"/>
      <c r="GS4" s="64"/>
      <c r="GT4" s="64"/>
      <c r="GU4" s="64"/>
      <c r="GV4" s="64"/>
      <c r="GW4" s="64"/>
      <c r="GX4" s="64"/>
      <c r="GY4" s="64"/>
      <c r="GZ4" s="64"/>
      <c r="HA4" s="64"/>
      <c r="HB4" s="64"/>
      <c r="HC4" s="64"/>
      <c r="HD4" s="64"/>
      <c r="HE4" s="64"/>
      <c r="HF4" s="64"/>
      <c r="HG4" s="64"/>
      <c r="HH4" s="64"/>
      <c r="HI4" s="64"/>
      <c r="HJ4" s="64"/>
      <c r="HK4" s="64"/>
      <c r="HL4" s="64"/>
      <c r="HM4" s="64"/>
      <c r="HN4" s="64"/>
      <c r="HO4" s="64"/>
      <c r="HP4" s="64"/>
      <c r="HQ4" s="64"/>
      <c r="HR4" s="64"/>
      <c r="HS4" s="64"/>
      <c r="HT4" s="64"/>
      <c r="HU4" s="64"/>
      <c r="HV4" s="64"/>
      <c r="HW4" s="64"/>
      <c r="HX4" s="64"/>
      <c r="HY4" s="64"/>
      <c r="HZ4" s="64"/>
      <c r="IA4" s="64"/>
      <c r="IB4" s="64"/>
      <c r="IC4" s="64"/>
      <c r="ID4" s="64"/>
      <c r="IE4" s="64"/>
      <c r="IF4" s="64"/>
      <c r="IG4" s="64"/>
      <c r="IH4" s="64"/>
      <c r="II4" s="64"/>
      <c r="IJ4" s="64"/>
      <c r="IK4" s="64"/>
      <c r="IL4" s="64"/>
      <c r="IM4" s="64"/>
      <c r="IN4" s="64"/>
      <c r="IO4" s="64"/>
      <c r="IP4" s="64"/>
      <c r="IQ4" s="64"/>
      <c r="IR4" s="64"/>
      <c r="IS4" s="64"/>
      <c r="IT4" s="64"/>
      <c r="IU4" s="64"/>
      <c r="IV4" s="64"/>
      <c r="IW4" s="64"/>
    </row>
    <row r="5" spans="2:257" ht="4.5" customHeight="1" x14ac:dyDescent="0.25">
      <c r="B5" s="66"/>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c r="CY5" s="64"/>
      <c r="CZ5" s="64"/>
      <c r="DA5" s="64"/>
      <c r="DB5" s="64"/>
      <c r="DC5" s="64"/>
      <c r="DD5" s="64"/>
      <c r="DE5" s="64"/>
      <c r="DF5" s="64"/>
      <c r="DG5" s="64"/>
      <c r="DH5" s="64"/>
      <c r="DI5" s="64"/>
      <c r="DJ5" s="64"/>
      <c r="DK5" s="64"/>
      <c r="DL5" s="64"/>
      <c r="DM5" s="64"/>
      <c r="DN5" s="64"/>
      <c r="DO5" s="64"/>
      <c r="DP5" s="64"/>
      <c r="DQ5" s="64"/>
      <c r="DR5" s="64"/>
      <c r="DS5" s="64"/>
      <c r="DT5" s="64"/>
      <c r="DU5" s="64"/>
      <c r="DV5" s="64"/>
      <c r="DW5" s="64"/>
      <c r="DX5" s="64"/>
      <c r="DY5" s="64"/>
      <c r="DZ5" s="64"/>
      <c r="EA5" s="64"/>
      <c r="EB5" s="64"/>
      <c r="EC5" s="64"/>
      <c r="ED5" s="64"/>
      <c r="EE5" s="64"/>
      <c r="EF5" s="64"/>
      <c r="EG5" s="64"/>
      <c r="EH5" s="64"/>
      <c r="EI5" s="64"/>
      <c r="EJ5" s="64"/>
      <c r="EK5" s="64"/>
      <c r="EL5" s="64"/>
      <c r="EM5" s="64"/>
      <c r="EN5" s="64"/>
      <c r="EO5" s="64"/>
      <c r="EP5" s="64"/>
      <c r="EQ5" s="64"/>
      <c r="ER5" s="64"/>
      <c r="ES5" s="64"/>
      <c r="ET5" s="64"/>
      <c r="EU5" s="64"/>
      <c r="EV5" s="64"/>
      <c r="EW5" s="64"/>
      <c r="EX5" s="64"/>
      <c r="EY5" s="64"/>
      <c r="EZ5" s="64"/>
      <c r="FA5" s="64"/>
      <c r="FB5" s="64"/>
      <c r="FC5" s="64"/>
      <c r="FD5" s="64"/>
      <c r="FE5" s="64"/>
      <c r="FF5" s="64"/>
      <c r="FG5" s="64"/>
      <c r="FH5" s="64"/>
      <c r="FI5" s="64"/>
      <c r="FJ5" s="64"/>
      <c r="FK5" s="64"/>
      <c r="FL5" s="64"/>
      <c r="FM5" s="64"/>
      <c r="FN5" s="64"/>
      <c r="FO5" s="64"/>
      <c r="FP5" s="64"/>
      <c r="FQ5" s="64"/>
      <c r="FR5" s="64"/>
      <c r="FS5" s="64"/>
      <c r="FT5" s="64"/>
      <c r="FU5" s="64"/>
      <c r="FV5" s="64"/>
      <c r="FW5" s="64"/>
      <c r="FX5" s="64"/>
      <c r="FY5" s="64"/>
      <c r="FZ5" s="64"/>
      <c r="GA5" s="64"/>
      <c r="GB5" s="64"/>
      <c r="GC5" s="64"/>
      <c r="GD5" s="64"/>
      <c r="GE5" s="64"/>
      <c r="GF5" s="64"/>
      <c r="GG5" s="64"/>
      <c r="GH5" s="64"/>
      <c r="GI5" s="64"/>
      <c r="GJ5" s="64"/>
      <c r="GK5" s="64"/>
      <c r="GL5" s="64"/>
      <c r="GM5" s="64"/>
      <c r="GN5" s="64"/>
      <c r="GO5" s="64"/>
      <c r="GP5" s="64"/>
      <c r="GQ5" s="64"/>
      <c r="GR5" s="64"/>
      <c r="GS5" s="64"/>
      <c r="GT5" s="64"/>
      <c r="GU5" s="64"/>
      <c r="GV5" s="64"/>
      <c r="GW5" s="64"/>
      <c r="GX5" s="64"/>
      <c r="GY5" s="64"/>
      <c r="GZ5" s="64"/>
      <c r="HA5" s="64"/>
      <c r="HB5" s="64"/>
      <c r="HC5" s="64"/>
      <c r="HD5" s="64"/>
      <c r="HE5" s="64"/>
      <c r="HF5" s="64"/>
      <c r="HG5" s="64"/>
      <c r="HH5" s="64"/>
      <c r="HI5" s="64"/>
      <c r="HJ5" s="64"/>
      <c r="HK5" s="64"/>
      <c r="HL5" s="64"/>
      <c r="HM5" s="64"/>
      <c r="HN5" s="64"/>
      <c r="HO5" s="64"/>
      <c r="HP5" s="64"/>
      <c r="HQ5" s="64"/>
      <c r="HR5" s="64"/>
      <c r="HS5" s="64"/>
      <c r="HT5" s="64"/>
      <c r="HU5" s="64"/>
      <c r="HV5" s="64"/>
      <c r="HW5" s="64"/>
      <c r="HX5" s="64"/>
      <c r="HY5" s="64"/>
      <c r="HZ5" s="64"/>
      <c r="IA5" s="64"/>
      <c r="IB5" s="64"/>
      <c r="IC5" s="64"/>
      <c r="ID5" s="64"/>
      <c r="IE5" s="64"/>
      <c r="IF5" s="64"/>
      <c r="IG5" s="64"/>
      <c r="IH5" s="64"/>
      <c r="II5" s="64"/>
      <c r="IJ5" s="64"/>
      <c r="IK5" s="64"/>
      <c r="IL5" s="64"/>
      <c r="IM5" s="64"/>
      <c r="IN5" s="64"/>
      <c r="IO5" s="64"/>
      <c r="IP5" s="64"/>
      <c r="IQ5" s="64"/>
      <c r="IR5" s="64"/>
      <c r="IS5" s="64"/>
      <c r="IT5" s="64"/>
      <c r="IU5" s="64"/>
      <c r="IV5" s="64"/>
      <c r="IW5" s="64"/>
    </row>
    <row r="6" spans="2:257" ht="18.95" customHeight="1" x14ac:dyDescent="0.25">
      <c r="B6" s="67" t="s">
        <v>144</v>
      </c>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8"/>
      <c r="ED6" s="68"/>
      <c r="EE6" s="68"/>
      <c r="EF6" s="68"/>
      <c r="EG6" s="68"/>
      <c r="EH6" s="68"/>
      <c r="EI6" s="68"/>
      <c r="EJ6" s="68"/>
      <c r="EK6" s="68"/>
      <c r="EL6" s="68"/>
      <c r="EM6" s="68"/>
      <c r="EN6" s="68"/>
      <c r="EO6" s="68"/>
      <c r="EP6" s="68"/>
      <c r="EQ6" s="68"/>
      <c r="ER6" s="68"/>
      <c r="ES6" s="68"/>
      <c r="ET6" s="68"/>
      <c r="EU6" s="68"/>
      <c r="EV6" s="68"/>
      <c r="EW6" s="68"/>
      <c r="EX6" s="68"/>
      <c r="EY6" s="68"/>
      <c r="EZ6" s="68"/>
      <c r="FA6" s="68"/>
      <c r="FB6" s="68"/>
      <c r="FC6" s="68"/>
      <c r="FD6" s="68"/>
      <c r="FE6" s="68"/>
      <c r="FF6" s="68"/>
      <c r="FG6" s="68"/>
      <c r="FH6" s="68"/>
      <c r="FI6" s="68"/>
      <c r="FJ6" s="68"/>
      <c r="FK6" s="68"/>
      <c r="FL6" s="68"/>
      <c r="FM6" s="68"/>
      <c r="FN6" s="68"/>
      <c r="FO6" s="68"/>
      <c r="FP6" s="68"/>
      <c r="FQ6" s="68"/>
      <c r="FR6" s="68"/>
      <c r="FS6" s="68"/>
      <c r="FT6" s="68"/>
      <c r="FU6" s="68"/>
      <c r="FV6" s="68"/>
      <c r="FW6" s="68"/>
      <c r="FX6" s="68"/>
      <c r="FY6" s="68"/>
      <c r="FZ6" s="68"/>
      <c r="GA6" s="68"/>
      <c r="GB6" s="68"/>
      <c r="GC6" s="68"/>
      <c r="GD6" s="68"/>
      <c r="GE6" s="68"/>
      <c r="GF6" s="68"/>
      <c r="GG6" s="68"/>
      <c r="GH6" s="68"/>
      <c r="GI6" s="68"/>
      <c r="GJ6" s="68"/>
      <c r="GK6" s="68"/>
      <c r="GL6" s="68"/>
      <c r="GM6" s="68"/>
      <c r="GN6" s="68"/>
      <c r="GO6" s="68"/>
      <c r="GP6" s="68"/>
      <c r="GQ6" s="68"/>
      <c r="GR6" s="68"/>
      <c r="GS6" s="68"/>
      <c r="GT6" s="68"/>
      <c r="GU6" s="68"/>
      <c r="GV6" s="68"/>
      <c r="GW6" s="68"/>
      <c r="GX6" s="68"/>
      <c r="GY6" s="68"/>
      <c r="GZ6" s="68"/>
      <c r="HA6" s="68"/>
      <c r="HB6" s="68"/>
      <c r="HC6" s="68"/>
      <c r="HD6" s="68"/>
      <c r="HE6" s="68"/>
      <c r="HF6" s="68"/>
      <c r="HG6" s="68"/>
      <c r="HH6" s="68"/>
      <c r="HI6" s="68"/>
      <c r="HJ6" s="68"/>
      <c r="HK6" s="68"/>
      <c r="HL6" s="68"/>
      <c r="HM6" s="68"/>
      <c r="HN6" s="68"/>
      <c r="HO6" s="68"/>
      <c r="HP6" s="68"/>
      <c r="HQ6" s="68"/>
      <c r="HR6" s="68"/>
      <c r="HS6" s="68"/>
      <c r="HT6" s="68"/>
      <c r="HU6" s="68"/>
      <c r="HV6" s="68"/>
      <c r="HW6" s="68"/>
      <c r="HX6" s="68"/>
      <c r="HY6" s="68"/>
      <c r="HZ6" s="68"/>
      <c r="IA6" s="68"/>
      <c r="IB6" s="68"/>
      <c r="IC6" s="68"/>
      <c r="ID6" s="68"/>
      <c r="IE6" s="68"/>
      <c r="IF6" s="68"/>
      <c r="IG6" s="68"/>
      <c r="IH6" s="68"/>
      <c r="II6" s="68"/>
      <c r="IJ6" s="68"/>
      <c r="IK6" s="68"/>
      <c r="IL6" s="68"/>
      <c r="IM6" s="68"/>
      <c r="IN6" s="68"/>
      <c r="IO6" s="68"/>
      <c r="IP6" s="68"/>
      <c r="IQ6" s="68"/>
      <c r="IR6" s="68"/>
      <c r="IS6" s="68"/>
      <c r="IT6" s="68"/>
      <c r="IU6" s="68"/>
      <c r="IV6" s="68"/>
      <c r="IW6" s="68"/>
    </row>
    <row r="7" spans="2:257" ht="4.5" customHeight="1" x14ac:dyDescent="0.25">
      <c r="B7" s="67"/>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c r="BS7" s="68"/>
      <c r="BT7" s="68"/>
      <c r="BU7" s="68"/>
      <c r="BV7" s="68"/>
      <c r="BW7" s="68"/>
      <c r="BX7" s="68"/>
      <c r="BY7" s="68"/>
      <c r="BZ7" s="68"/>
      <c r="CA7" s="68"/>
      <c r="CB7" s="68"/>
      <c r="CC7" s="68"/>
      <c r="CD7" s="68"/>
      <c r="CE7" s="68"/>
      <c r="CF7" s="68"/>
      <c r="CG7" s="68"/>
      <c r="CH7" s="68"/>
      <c r="CI7" s="68"/>
      <c r="CJ7" s="68"/>
      <c r="CK7" s="68"/>
      <c r="CL7" s="68"/>
      <c r="CM7" s="68"/>
      <c r="CN7" s="68"/>
      <c r="CO7" s="68"/>
      <c r="CP7" s="68"/>
      <c r="CQ7" s="68"/>
      <c r="CR7" s="68"/>
      <c r="CS7" s="68"/>
      <c r="CT7" s="68"/>
      <c r="CU7" s="68"/>
      <c r="CV7" s="68"/>
      <c r="CW7" s="68"/>
      <c r="CX7" s="68"/>
      <c r="CY7" s="68"/>
      <c r="CZ7" s="68"/>
      <c r="DA7" s="68"/>
      <c r="DB7" s="68"/>
      <c r="DC7" s="68"/>
      <c r="DD7" s="68"/>
      <c r="DE7" s="68"/>
      <c r="DF7" s="68"/>
      <c r="DG7" s="68"/>
      <c r="DH7" s="68"/>
      <c r="DI7" s="68"/>
      <c r="DJ7" s="68"/>
      <c r="DK7" s="68"/>
      <c r="DL7" s="68"/>
      <c r="DM7" s="68"/>
      <c r="DN7" s="68"/>
      <c r="DO7" s="68"/>
      <c r="DP7" s="68"/>
      <c r="DQ7" s="68"/>
      <c r="DR7" s="68"/>
      <c r="DS7" s="68"/>
      <c r="DT7" s="68"/>
      <c r="DU7" s="68"/>
      <c r="DV7" s="68"/>
      <c r="DW7" s="68"/>
      <c r="DX7" s="68"/>
      <c r="DY7" s="68"/>
      <c r="DZ7" s="68"/>
      <c r="EA7" s="68"/>
      <c r="EB7" s="68"/>
      <c r="EC7" s="68"/>
      <c r="ED7" s="68"/>
      <c r="EE7" s="68"/>
      <c r="EF7" s="68"/>
      <c r="EG7" s="68"/>
      <c r="EH7" s="68"/>
      <c r="EI7" s="68"/>
      <c r="EJ7" s="68"/>
      <c r="EK7" s="68"/>
      <c r="EL7" s="68"/>
      <c r="EM7" s="68"/>
      <c r="EN7" s="68"/>
      <c r="EO7" s="68"/>
      <c r="EP7" s="68"/>
      <c r="EQ7" s="68"/>
      <c r="ER7" s="68"/>
      <c r="ES7" s="68"/>
      <c r="ET7" s="68"/>
      <c r="EU7" s="68"/>
      <c r="EV7" s="68"/>
      <c r="EW7" s="68"/>
      <c r="EX7" s="68"/>
      <c r="EY7" s="68"/>
      <c r="EZ7" s="68"/>
      <c r="FA7" s="68"/>
      <c r="FB7" s="68"/>
      <c r="FC7" s="68"/>
      <c r="FD7" s="68"/>
      <c r="FE7" s="68"/>
      <c r="FF7" s="68"/>
      <c r="FG7" s="68"/>
      <c r="FH7" s="68"/>
      <c r="FI7" s="68"/>
      <c r="FJ7" s="68"/>
      <c r="FK7" s="68"/>
      <c r="FL7" s="68"/>
      <c r="FM7" s="68"/>
      <c r="FN7" s="68"/>
      <c r="FO7" s="68"/>
      <c r="FP7" s="68"/>
      <c r="FQ7" s="68"/>
      <c r="FR7" s="68"/>
      <c r="FS7" s="68"/>
      <c r="FT7" s="68"/>
      <c r="FU7" s="68"/>
      <c r="FV7" s="68"/>
      <c r="FW7" s="68"/>
      <c r="FX7" s="68"/>
      <c r="FY7" s="68"/>
      <c r="FZ7" s="68"/>
      <c r="GA7" s="68"/>
      <c r="GB7" s="68"/>
      <c r="GC7" s="68"/>
      <c r="GD7" s="68"/>
      <c r="GE7" s="68"/>
      <c r="GF7" s="68"/>
      <c r="GG7" s="68"/>
      <c r="GH7" s="68"/>
      <c r="GI7" s="68"/>
      <c r="GJ7" s="68"/>
      <c r="GK7" s="68"/>
      <c r="GL7" s="68"/>
      <c r="GM7" s="68"/>
      <c r="GN7" s="68"/>
      <c r="GO7" s="68"/>
      <c r="GP7" s="68"/>
      <c r="GQ7" s="68"/>
      <c r="GR7" s="68"/>
      <c r="GS7" s="68"/>
      <c r="GT7" s="68"/>
      <c r="GU7" s="68"/>
      <c r="GV7" s="68"/>
      <c r="GW7" s="68"/>
      <c r="GX7" s="68"/>
      <c r="GY7" s="68"/>
      <c r="GZ7" s="68"/>
      <c r="HA7" s="68"/>
      <c r="HB7" s="68"/>
      <c r="HC7" s="68"/>
      <c r="HD7" s="68"/>
      <c r="HE7" s="68"/>
      <c r="HF7" s="68"/>
      <c r="HG7" s="68"/>
      <c r="HH7" s="68"/>
      <c r="HI7" s="68"/>
      <c r="HJ7" s="68"/>
      <c r="HK7" s="68"/>
      <c r="HL7" s="68"/>
      <c r="HM7" s="68"/>
      <c r="HN7" s="68"/>
      <c r="HO7" s="68"/>
      <c r="HP7" s="68"/>
      <c r="HQ7" s="68"/>
      <c r="HR7" s="68"/>
      <c r="HS7" s="68"/>
      <c r="HT7" s="68"/>
      <c r="HU7" s="68"/>
      <c r="HV7" s="68"/>
      <c r="HW7" s="68"/>
      <c r="HX7" s="68"/>
      <c r="HY7" s="68"/>
      <c r="HZ7" s="68"/>
      <c r="IA7" s="68"/>
      <c r="IB7" s="68"/>
      <c r="IC7" s="68"/>
      <c r="ID7" s="68"/>
      <c r="IE7" s="68"/>
      <c r="IF7" s="68"/>
      <c r="IG7" s="68"/>
      <c r="IH7" s="68"/>
      <c r="II7" s="68"/>
      <c r="IJ7" s="68"/>
      <c r="IK7" s="68"/>
      <c r="IL7" s="68"/>
      <c r="IM7" s="68"/>
      <c r="IN7" s="68"/>
      <c r="IO7" s="68"/>
      <c r="IP7" s="68"/>
      <c r="IQ7" s="68"/>
      <c r="IR7" s="68"/>
      <c r="IS7" s="68"/>
      <c r="IT7" s="68"/>
      <c r="IU7" s="68"/>
      <c r="IV7" s="68"/>
      <c r="IW7" s="68"/>
    </row>
    <row r="8" spans="2:257" ht="18.95" customHeight="1" x14ac:dyDescent="0.25">
      <c r="B8" s="69" t="s">
        <v>145</v>
      </c>
    </row>
    <row r="9" spans="2:257" ht="3.75" customHeight="1" x14ac:dyDescent="0.25">
      <c r="B9" s="68"/>
    </row>
    <row r="10" spans="2:257" ht="18.95" customHeight="1" x14ac:dyDescent="0.25">
      <c r="B10" s="69" t="s">
        <v>0</v>
      </c>
    </row>
    <row r="11" spans="2:257" ht="3.75" customHeight="1" x14ac:dyDescent="0.25"/>
    <row r="12" spans="2:257" ht="15.95" customHeight="1" x14ac:dyDescent="0.25">
      <c r="B12" s="70" t="str">
        <f>'1'!A2</f>
        <v>Quadro 1. Sinistralidade em Portugal, 2025 vs 2019</v>
      </c>
    </row>
    <row r="13" spans="2:257" ht="15.95" customHeight="1" x14ac:dyDescent="0.25">
      <c r="B13" s="70" t="str">
        <f>'2'!A2</f>
        <v>Quadro 2. Sinistralidade em Portugal, 2025 vs 2024</v>
      </c>
    </row>
    <row r="14" spans="2:257" ht="3.75" customHeight="1" x14ac:dyDescent="0.25">
      <c r="B14" s="71"/>
    </row>
    <row r="15" spans="2:257" ht="18.95" customHeight="1" x14ac:dyDescent="0.25">
      <c r="B15" s="69" t="s">
        <v>1</v>
      </c>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D15" s="68"/>
      <c r="HE15" s="68"/>
      <c r="HF15" s="68"/>
      <c r="HG15" s="68"/>
      <c r="HH15" s="68"/>
      <c r="HI15" s="68"/>
      <c r="HJ15" s="68"/>
      <c r="HK15" s="68"/>
      <c r="HL15" s="68"/>
      <c r="HM15" s="68"/>
      <c r="HN15" s="68"/>
      <c r="HO15" s="68"/>
      <c r="HP15" s="68"/>
      <c r="HQ15" s="68"/>
      <c r="HR15" s="68"/>
      <c r="HS15" s="68"/>
      <c r="HT15" s="68"/>
      <c r="HU15" s="68"/>
      <c r="HV15" s="68"/>
      <c r="HW15" s="68"/>
      <c r="HX15" s="68"/>
      <c r="HY15" s="68"/>
      <c r="HZ15" s="68"/>
      <c r="IA15" s="68"/>
      <c r="IB15" s="68"/>
      <c r="IC15" s="68"/>
      <c r="ID15" s="68"/>
      <c r="IE15" s="68"/>
      <c r="IF15" s="68"/>
      <c r="IG15" s="68"/>
      <c r="IH15" s="68"/>
      <c r="II15" s="68"/>
      <c r="IJ15" s="68"/>
      <c r="IK15" s="68"/>
      <c r="IL15" s="68"/>
      <c r="IM15" s="68"/>
      <c r="IN15" s="68"/>
      <c r="IO15" s="68"/>
      <c r="IP15" s="68"/>
      <c r="IQ15" s="68"/>
      <c r="IR15" s="68"/>
      <c r="IS15" s="68"/>
      <c r="IT15" s="68"/>
      <c r="IU15" s="68"/>
      <c r="IV15" s="68"/>
      <c r="IW15" s="68"/>
    </row>
    <row r="16" spans="2:257" ht="3.75" customHeight="1" x14ac:dyDescent="0.25">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c r="EJ16" s="68"/>
      <c r="EK16" s="68"/>
      <c r="EL16" s="68"/>
      <c r="EM16" s="68"/>
      <c r="EN16" s="68"/>
      <c r="EO16" s="68"/>
      <c r="EP16" s="68"/>
      <c r="EQ16" s="68"/>
      <c r="ER16" s="68"/>
      <c r="ES16" s="68"/>
      <c r="ET16" s="68"/>
      <c r="EU16" s="68"/>
      <c r="EV16" s="68"/>
      <c r="EW16" s="68"/>
      <c r="EX16" s="68"/>
      <c r="EY16" s="68"/>
      <c r="EZ16" s="68"/>
      <c r="FA16" s="68"/>
      <c r="FB16" s="68"/>
      <c r="FC16" s="68"/>
      <c r="FD16" s="68"/>
      <c r="FE16" s="68"/>
      <c r="FF16" s="68"/>
      <c r="FG16" s="68"/>
      <c r="FH16" s="68"/>
      <c r="FI16" s="68"/>
      <c r="FJ16" s="68"/>
      <c r="FK16" s="68"/>
      <c r="FL16" s="68"/>
      <c r="FM16" s="68"/>
      <c r="FN16" s="68"/>
      <c r="FO16" s="68"/>
      <c r="FP16" s="68"/>
      <c r="FQ16" s="68"/>
      <c r="FR16" s="68"/>
      <c r="FS16" s="68"/>
      <c r="FT16" s="68"/>
      <c r="FU16" s="68"/>
      <c r="FV16" s="68"/>
      <c r="FW16" s="68"/>
      <c r="FX16" s="68"/>
      <c r="FY16" s="68"/>
      <c r="FZ16" s="68"/>
      <c r="GA16" s="68"/>
      <c r="GB16" s="68"/>
      <c r="GC16" s="68"/>
      <c r="GD16" s="68"/>
      <c r="GE16" s="68"/>
      <c r="GF16" s="68"/>
      <c r="GG16" s="68"/>
      <c r="GH16" s="68"/>
      <c r="GI16" s="68"/>
      <c r="GJ16" s="68"/>
      <c r="GK16" s="68"/>
      <c r="GL16" s="68"/>
      <c r="GM16" s="68"/>
      <c r="GN16" s="68"/>
      <c r="GO16" s="68"/>
      <c r="GP16" s="68"/>
      <c r="GQ16" s="68"/>
      <c r="GR16" s="68"/>
      <c r="GS16" s="68"/>
      <c r="GT16" s="68"/>
      <c r="GU16" s="68"/>
      <c r="GV16" s="68"/>
      <c r="GW16" s="68"/>
      <c r="GX16" s="68"/>
      <c r="GY16" s="68"/>
      <c r="GZ16" s="68"/>
      <c r="HA16" s="68"/>
      <c r="HB16" s="68"/>
      <c r="HC16" s="68"/>
      <c r="HD16" s="68"/>
      <c r="HE16" s="68"/>
      <c r="HF16" s="68"/>
      <c r="HG16" s="68"/>
      <c r="HH16" s="68"/>
      <c r="HI16" s="68"/>
      <c r="HJ16" s="68"/>
      <c r="HK16" s="68"/>
      <c r="HL16" s="68"/>
      <c r="HM16" s="68"/>
      <c r="HN16" s="68"/>
      <c r="HO16" s="68"/>
      <c r="HP16" s="68"/>
      <c r="HQ16" s="68"/>
      <c r="HR16" s="68"/>
      <c r="HS16" s="68"/>
      <c r="HT16" s="68"/>
      <c r="HU16" s="68"/>
      <c r="HV16" s="68"/>
      <c r="HW16" s="68"/>
      <c r="HX16" s="68"/>
      <c r="HY16" s="68"/>
      <c r="HZ16" s="68"/>
      <c r="IA16" s="68"/>
      <c r="IB16" s="68"/>
      <c r="IC16" s="68"/>
      <c r="ID16" s="68"/>
      <c r="IE16" s="68"/>
      <c r="IF16" s="68"/>
      <c r="IG16" s="68"/>
      <c r="IH16" s="68"/>
      <c r="II16" s="68"/>
      <c r="IJ16" s="68"/>
      <c r="IK16" s="68"/>
      <c r="IL16" s="68"/>
      <c r="IM16" s="68"/>
      <c r="IN16" s="68"/>
      <c r="IO16" s="68"/>
      <c r="IP16" s="68"/>
      <c r="IQ16" s="68"/>
      <c r="IR16" s="68"/>
      <c r="IS16" s="68"/>
      <c r="IT16" s="68"/>
      <c r="IU16" s="68"/>
      <c r="IV16" s="68"/>
      <c r="IW16" s="68"/>
    </row>
    <row r="17" spans="2:2" ht="15.95" customHeight="1" x14ac:dyDescent="0.25">
      <c r="B17" s="70" t="str">
        <f>'3'!A2</f>
        <v>Quadro 3. Evolução da Sinistralidade no Continente</v>
      </c>
    </row>
    <row r="18" spans="2:2" ht="15.95" customHeight="1" x14ac:dyDescent="0.25">
      <c r="B18" s="70" t="str">
        <f>'4 e 5'!A2</f>
        <v>Quadro 4. Sinistralidade em Portugal por mês</v>
      </c>
    </row>
    <row r="19" spans="2:2" ht="15.95" customHeight="1" x14ac:dyDescent="0.25">
      <c r="B19" s="70" t="str">
        <f>'4 e 5'!A17</f>
        <v>Quadro 5. Sinistralidade em Portugal por mês, taxas de variação</v>
      </c>
    </row>
    <row r="20" spans="2:2" ht="15.95" customHeight="1" x14ac:dyDescent="0.25">
      <c r="B20" s="70" t="str">
        <f>'6'!A2</f>
        <v>Quadro 6. Sinistralidade em Portugal por dia da semana</v>
      </c>
    </row>
    <row r="21" spans="2:2" ht="15.95" customHeight="1" x14ac:dyDescent="0.25">
      <c r="B21" s="70" t="str">
        <f>'7'!A2</f>
        <v>Quadro 7. Sinistralidade em Portugal por período horário</v>
      </c>
    </row>
    <row r="22" spans="2:2" ht="15.95" customHeight="1" x14ac:dyDescent="0.25">
      <c r="B22" s="70" t="str">
        <f>'8'!A2</f>
        <v>Quadro 8. Sinistralidade em Portugal por fatores atmosféricos</v>
      </c>
    </row>
    <row r="23" spans="2:2" ht="15.95" customHeight="1" x14ac:dyDescent="0.25">
      <c r="B23" s="70" t="str">
        <f>'9 e 10'!A2</f>
        <v>Quadro 9. Sinistralidade em Portugal por natureza</v>
      </c>
    </row>
    <row r="24" spans="2:2" ht="15.95" customHeight="1" x14ac:dyDescent="0.25">
      <c r="B24" s="70" t="str">
        <f>'9 e 10'!A11</f>
        <v>Quadro 10. Sinistralidade em Portugal por natureza, taxas de variação</v>
      </c>
    </row>
    <row r="25" spans="2:2" ht="15.95" customHeight="1" x14ac:dyDescent="0.25">
      <c r="B25" s="70" t="str">
        <f>'11 e 12'!A2</f>
        <v>Quadro 11. Sinistralidade em Portugal por localização</v>
      </c>
    </row>
    <row r="26" spans="2:2" ht="15.95" customHeight="1" x14ac:dyDescent="0.25">
      <c r="B26" s="70" t="str">
        <f>'11 e 12'!A10</f>
        <v>Quadro 12. Sinistralidade em Portugal, taxas de variação</v>
      </c>
    </row>
    <row r="27" spans="2:2" ht="15.95" customHeight="1" x14ac:dyDescent="0.25">
      <c r="B27" s="70" t="str">
        <f>'13 e 14'!A2</f>
        <v>Quadro 13. Sinistralidade em Portugal por tipo de via</v>
      </c>
    </row>
    <row r="28" spans="2:2" ht="15.95" customHeight="1" x14ac:dyDescent="0.25">
      <c r="B28" s="70" t="str">
        <f>'13 e 14'!A17</f>
        <v>Quadro 14. Sinistralidade em Portugal por tipo de via, taxas de variação</v>
      </c>
    </row>
    <row r="29" spans="2:2" ht="15.95" customHeight="1" x14ac:dyDescent="0.25">
      <c r="B29" s="70" t="str">
        <f>'15'!A2</f>
        <v>Quadro 15. Sinistralidade em Portugal por distrito e R. A.</v>
      </c>
    </row>
    <row r="30" spans="2:2" ht="15.95" customHeight="1" x14ac:dyDescent="0.25">
      <c r="B30" s="70" t="str">
        <f>'16 e 17'!A2</f>
        <v>Quadro 16. Sinistralidade em Portugal por categoria de utilizador</v>
      </c>
    </row>
    <row r="31" spans="2:2" ht="15.95" customHeight="1" x14ac:dyDescent="0.25">
      <c r="B31" s="70" t="str">
        <f>'16 e 17'!A11</f>
        <v>Quadro 17. Sinistralidade em Portugal por categoria de utilizador, taxas de variação</v>
      </c>
    </row>
    <row r="32" spans="2:2" ht="15.95" customHeight="1" x14ac:dyDescent="0.25">
      <c r="B32" s="70" t="str">
        <f>'18'!A2</f>
        <v>Quadro 18. Veículos intervenientes em acidentes com vítimas em Portugal por categoria de veículo</v>
      </c>
    </row>
    <row r="33" spans="2:257" ht="15.95" customHeight="1" x14ac:dyDescent="0.25">
      <c r="B33" s="70" t="str">
        <f>'19 e 20'!A2</f>
        <v>Quadro 19. Sinistralidade em Portugal por categoria de veículo e peões</v>
      </c>
    </row>
    <row r="34" spans="2:257" ht="15.95" customHeight="1" x14ac:dyDescent="0.25">
      <c r="B34" s="70" t="str">
        <f>'19 e 20'!A17</f>
        <v>Quadro 20. Sinistralidade em Portugal por categoria de veículo e peões, taxas de variação</v>
      </c>
    </row>
    <row r="35" spans="2:257" ht="15.95" customHeight="1" x14ac:dyDescent="0.25">
      <c r="B35" s="70" t="str">
        <f>'21'!A2</f>
        <v>Quadro 21. Vítimas mortais por entidade gestora de via (EGV), resumo janeiro a setembro 2025</v>
      </c>
    </row>
    <row r="36" spans="2:257" ht="15" customHeight="1" x14ac:dyDescent="0.25">
      <c r="B36" s="71"/>
    </row>
    <row r="37" spans="2:257" ht="3.75" customHeight="1" x14ac:dyDescent="0.25">
      <c r="B37" s="71"/>
    </row>
    <row r="38" spans="2:257" ht="18.95" customHeight="1" x14ac:dyDescent="0.25">
      <c r="B38" s="69" t="s">
        <v>2</v>
      </c>
    </row>
    <row r="39" spans="2:257" ht="3.75" customHeight="1" x14ac:dyDescent="0.25">
      <c r="B39" s="68"/>
    </row>
    <row r="40" spans="2:257" ht="18.95" customHeight="1" x14ac:dyDescent="0.25">
      <c r="B40" s="69" t="s">
        <v>3</v>
      </c>
    </row>
    <row r="41" spans="2:257" ht="3.75" customHeight="1" x14ac:dyDescent="0.25">
      <c r="B41" s="71"/>
    </row>
    <row r="42" spans="2:257" ht="15.95" customHeight="1" x14ac:dyDescent="0.25">
      <c r="B42" s="70" t="str">
        <f>'22'!A2</f>
        <v>Quadro 22. Condutores e veículos fiscalizados</v>
      </c>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64"/>
      <c r="CG42" s="64"/>
      <c r="CH42" s="64"/>
      <c r="CI42" s="64"/>
      <c r="CJ42" s="64"/>
      <c r="CK42" s="64"/>
      <c r="CL42" s="64"/>
      <c r="CM42" s="64"/>
      <c r="CN42" s="64"/>
      <c r="CO42" s="64"/>
      <c r="CP42" s="64"/>
      <c r="CQ42" s="64"/>
      <c r="CR42" s="64"/>
      <c r="CS42" s="64"/>
      <c r="CT42" s="64"/>
      <c r="CU42" s="64"/>
      <c r="CV42" s="64"/>
      <c r="CW42" s="64"/>
      <c r="CX42" s="64"/>
      <c r="CY42" s="64"/>
      <c r="CZ42" s="64"/>
      <c r="DA42" s="64"/>
      <c r="DB42" s="64"/>
      <c r="DC42" s="64"/>
      <c r="DD42" s="64"/>
      <c r="DE42" s="64"/>
      <c r="DF42" s="64"/>
      <c r="DG42" s="64"/>
      <c r="DH42" s="64"/>
      <c r="DI42" s="64"/>
      <c r="DJ42" s="64"/>
      <c r="DK42" s="64"/>
      <c r="DL42" s="64"/>
      <c r="DM42" s="64"/>
      <c r="DN42" s="64"/>
      <c r="DO42" s="64"/>
      <c r="DP42" s="64"/>
      <c r="DQ42" s="64"/>
      <c r="DR42" s="64"/>
      <c r="DS42" s="64"/>
      <c r="DT42" s="64"/>
      <c r="DU42" s="64"/>
      <c r="DV42" s="64"/>
      <c r="DW42" s="64"/>
      <c r="DX42" s="64"/>
      <c r="DY42" s="64"/>
      <c r="DZ42" s="64"/>
      <c r="EA42" s="64"/>
      <c r="EB42" s="64"/>
      <c r="EC42" s="64"/>
      <c r="ED42" s="64"/>
      <c r="EE42" s="64"/>
      <c r="EF42" s="64"/>
      <c r="EG42" s="64"/>
      <c r="EH42" s="64"/>
      <c r="EI42" s="64"/>
      <c r="EJ42" s="64"/>
      <c r="EK42" s="64"/>
      <c r="EL42" s="64"/>
      <c r="EM42" s="64"/>
      <c r="EN42" s="64"/>
      <c r="EO42" s="64"/>
      <c r="EP42" s="64"/>
      <c r="EQ42" s="64"/>
      <c r="ER42" s="64"/>
      <c r="ES42" s="64"/>
      <c r="ET42" s="64"/>
      <c r="EU42" s="64"/>
      <c r="EV42" s="64"/>
      <c r="EW42" s="64"/>
      <c r="EX42" s="64"/>
      <c r="EY42" s="64"/>
      <c r="EZ42" s="64"/>
      <c r="FA42" s="64"/>
      <c r="FB42" s="64"/>
      <c r="FC42" s="64"/>
      <c r="FD42" s="64"/>
      <c r="FE42" s="64"/>
      <c r="FF42" s="64"/>
      <c r="FG42" s="64"/>
      <c r="FH42" s="64"/>
      <c r="FI42" s="64"/>
      <c r="FJ42" s="64"/>
      <c r="FK42" s="64"/>
      <c r="FL42" s="64"/>
      <c r="FM42" s="64"/>
      <c r="FN42" s="64"/>
      <c r="FO42" s="64"/>
      <c r="FP42" s="64"/>
      <c r="FQ42" s="64"/>
      <c r="FR42" s="64"/>
      <c r="FS42" s="64"/>
      <c r="FT42" s="64"/>
      <c r="FU42" s="64"/>
      <c r="FV42" s="64"/>
      <c r="FW42" s="64"/>
      <c r="FX42" s="64"/>
      <c r="FY42" s="64"/>
      <c r="FZ42" s="64"/>
      <c r="GA42" s="64"/>
      <c r="GB42" s="64"/>
      <c r="GC42" s="64"/>
      <c r="GD42" s="64"/>
      <c r="GE42" s="64"/>
      <c r="GF42" s="64"/>
      <c r="GG42" s="64"/>
      <c r="GH42" s="64"/>
      <c r="GI42" s="64"/>
      <c r="GJ42" s="64"/>
      <c r="GK42" s="64"/>
      <c r="GL42" s="64"/>
      <c r="GM42" s="64"/>
      <c r="GN42" s="64"/>
      <c r="GO42" s="64"/>
      <c r="GP42" s="64"/>
      <c r="GQ42" s="64"/>
      <c r="GR42" s="64"/>
      <c r="GS42" s="64"/>
      <c r="GT42" s="64"/>
      <c r="GU42" s="64"/>
      <c r="GV42" s="64"/>
      <c r="GW42" s="64"/>
      <c r="GX42" s="64"/>
      <c r="GY42" s="64"/>
      <c r="GZ42" s="64"/>
      <c r="HA42" s="64"/>
      <c r="HB42" s="64"/>
      <c r="HC42" s="64"/>
      <c r="HD42" s="64"/>
      <c r="HE42" s="64"/>
      <c r="HF42" s="64"/>
      <c r="HG42" s="64"/>
      <c r="HH42" s="64"/>
      <c r="HI42" s="64"/>
      <c r="HJ42" s="64"/>
      <c r="HK42" s="64"/>
      <c r="HL42" s="64"/>
      <c r="HM42" s="64"/>
      <c r="HN42" s="64"/>
      <c r="HO42" s="64"/>
      <c r="HP42" s="64"/>
      <c r="HQ42" s="64"/>
      <c r="HR42" s="64"/>
      <c r="HS42" s="64"/>
      <c r="HT42" s="64"/>
      <c r="HU42" s="64"/>
      <c r="HV42" s="64"/>
      <c r="HW42" s="64"/>
      <c r="HX42" s="64"/>
      <c r="HY42" s="64"/>
      <c r="HZ42" s="64"/>
      <c r="IA42" s="64"/>
      <c r="IB42" s="64"/>
      <c r="IC42" s="64"/>
      <c r="ID42" s="64"/>
      <c r="IE42" s="64"/>
      <c r="IF42" s="64"/>
      <c r="IG42" s="64"/>
      <c r="IH42" s="64"/>
      <c r="II42" s="64"/>
      <c r="IJ42" s="64"/>
      <c r="IK42" s="64"/>
      <c r="IL42" s="64"/>
      <c r="IM42" s="64"/>
      <c r="IN42" s="64"/>
      <c r="IO42" s="64"/>
      <c r="IP42" s="64"/>
      <c r="IQ42" s="64"/>
      <c r="IR42" s="64"/>
      <c r="IS42" s="64"/>
      <c r="IT42" s="64"/>
      <c r="IU42" s="64"/>
      <c r="IV42" s="64"/>
      <c r="IW42" s="64"/>
    </row>
    <row r="43" spans="2:257" ht="15.95" customHeight="1" x14ac:dyDescent="0.25">
      <c r="B43" s="70" t="str">
        <f>'23'!A2</f>
        <v>Quadro 23. Infrações</v>
      </c>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64"/>
      <c r="CT43" s="64"/>
      <c r="CU43" s="64"/>
      <c r="CV43" s="64"/>
      <c r="CW43" s="64"/>
      <c r="CX43" s="64"/>
      <c r="CY43" s="64"/>
      <c r="CZ43" s="64"/>
      <c r="DA43" s="64"/>
      <c r="DB43" s="64"/>
      <c r="DC43" s="64"/>
      <c r="DD43" s="64"/>
      <c r="DE43" s="64"/>
      <c r="DF43" s="64"/>
      <c r="DG43" s="64"/>
      <c r="DH43" s="64"/>
      <c r="DI43" s="64"/>
      <c r="DJ43" s="64"/>
      <c r="DK43" s="64"/>
      <c r="DL43" s="64"/>
      <c r="DM43" s="64"/>
      <c r="DN43" s="64"/>
      <c r="DO43" s="64"/>
      <c r="DP43" s="64"/>
      <c r="DQ43" s="64"/>
      <c r="DR43" s="64"/>
      <c r="DS43" s="64"/>
      <c r="DT43" s="64"/>
      <c r="DU43" s="64"/>
      <c r="DV43" s="64"/>
      <c r="DW43" s="64"/>
      <c r="DX43" s="64"/>
      <c r="DY43" s="64"/>
      <c r="DZ43" s="64"/>
      <c r="EA43" s="64"/>
      <c r="EB43" s="64"/>
      <c r="EC43" s="64"/>
      <c r="ED43" s="64"/>
      <c r="EE43" s="64"/>
      <c r="EF43" s="64"/>
      <c r="EG43" s="64"/>
      <c r="EH43" s="64"/>
      <c r="EI43" s="64"/>
      <c r="EJ43" s="64"/>
      <c r="EK43" s="64"/>
      <c r="EL43" s="64"/>
      <c r="EM43" s="64"/>
      <c r="EN43" s="64"/>
      <c r="EO43" s="64"/>
      <c r="EP43" s="64"/>
      <c r="EQ43" s="64"/>
      <c r="ER43" s="64"/>
      <c r="ES43" s="64"/>
      <c r="ET43" s="64"/>
      <c r="EU43" s="64"/>
      <c r="EV43" s="64"/>
      <c r="EW43" s="64"/>
      <c r="EX43" s="64"/>
      <c r="EY43" s="64"/>
      <c r="EZ43" s="64"/>
      <c r="FA43" s="64"/>
      <c r="FB43" s="64"/>
      <c r="FC43" s="64"/>
      <c r="FD43" s="64"/>
      <c r="FE43" s="64"/>
      <c r="FF43" s="64"/>
      <c r="FG43" s="64"/>
      <c r="FH43" s="64"/>
      <c r="FI43" s="64"/>
      <c r="FJ43" s="64"/>
      <c r="FK43" s="64"/>
      <c r="FL43" s="64"/>
      <c r="FM43" s="64"/>
      <c r="FN43" s="64"/>
      <c r="FO43" s="64"/>
      <c r="FP43" s="64"/>
      <c r="FQ43" s="64"/>
      <c r="FR43" s="64"/>
      <c r="FS43" s="64"/>
      <c r="FT43" s="64"/>
      <c r="FU43" s="64"/>
      <c r="FV43" s="64"/>
      <c r="FW43" s="64"/>
      <c r="FX43" s="64"/>
      <c r="FY43" s="64"/>
      <c r="FZ43" s="64"/>
      <c r="GA43" s="64"/>
      <c r="GB43" s="64"/>
      <c r="GC43" s="64"/>
      <c r="GD43" s="64"/>
      <c r="GE43" s="64"/>
      <c r="GF43" s="64"/>
      <c r="GG43" s="64"/>
      <c r="GH43" s="64"/>
      <c r="GI43" s="64"/>
      <c r="GJ43" s="64"/>
      <c r="GK43" s="64"/>
      <c r="GL43" s="64"/>
      <c r="GM43" s="64"/>
      <c r="GN43" s="64"/>
      <c r="GO43" s="64"/>
      <c r="GP43" s="64"/>
      <c r="GQ43" s="64"/>
      <c r="GR43" s="64"/>
      <c r="GS43" s="64"/>
      <c r="GT43" s="64"/>
      <c r="GU43" s="64"/>
      <c r="GV43" s="64"/>
      <c r="GW43" s="64"/>
      <c r="GX43" s="64"/>
      <c r="GY43" s="64"/>
      <c r="GZ43" s="64"/>
      <c r="HA43" s="64"/>
      <c r="HB43" s="64"/>
      <c r="HC43" s="64"/>
      <c r="HD43" s="64"/>
      <c r="HE43" s="64"/>
      <c r="HF43" s="64"/>
      <c r="HG43" s="64"/>
      <c r="HH43" s="64"/>
      <c r="HI43" s="64"/>
      <c r="HJ43" s="64"/>
      <c r="HK43" s="64"/>
      <c r="HL43" s="64"/>
      <c r="HM43" s="64"/>
      <c r="HN43" s="64"/>
      <c r="HO43" s="64"/>
      <c r="HP43" s="64"/>
      <c r="HQ43" s="64"/>
      <c r="HR43" s="64"/>
      <c r="HS43" s="64"/>
      <c r="HT43" s="64"/>
      <c r="HU43" s="64"/>
      <c r="HV43" s="64"/>
      <c r="HW43" s="64"/>
      <c r="HX43" s="64"/>
      <c r="HY43" s="64"/>
      <c r="HZ43" s="64"/>
      <c r="IA43" s="64"/>
      <c r="IB43" s="64"/>
      <c r="IC43" s="64"/>
      <c r="ID43" s="64"/>
      <c r="IE43" s="64"/>
      <c r="IF43" s="64"/>
      <c r="IG43" s="64"/>
      <c r="IH43" s="64"/>
      <c r="II43" s="64"/>
      <c r="IJ43" s="64"/>
      <c r="IK43" s="64"/>
      <c r="IL43" s="64"/>
      <c r="IM43" s="64"/>
      <c r="IN43" s="64"/>
      <c r="IO43" s="64"/>
      <c r="IP43" s="64"/>
      <c r="IQ43" s="64"/>
      <c r="IR43" s="64"/>
      <c r="IS43" s="64"/>
      <c r="IT43" s="64"/>
      <c r="IU43" s="64"/>
      <c r="IV43" s="64"/>
      <c r="IW43" s="64"/>
    </row>
    <row r="44" spans="2:257" ht="15.95" customHeight="1" x14ac:dyDescent="0.25">
      <c r="B44" s="70" t="str">
        <f>'24'!A2</f>
        <v>Quadro 24. Tipologia de infrações</v>
      </c>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c r="CY44" s="64"/>
      <c r="CZ44" s="64"/>
      <c r="DA44" s="64"/>
      <c r="DB44" s="64"/>
      <c r="DC44" s="64"/>
      <c r="DD44" s="64"/>
      <c r="DE44" s="64"/>
      <c r="DF44" s="64"/>
      <c r="DG44" s="64"/>
      <c r="DH44" s="64"/>
      <c r="DI44" s="64"/>
      <c r="DJ44" s="64"/>
      <c r="DK44" s="64"/>
      <c r="DL44" s="64"/>
      <c r="DM44" s="64"/>
      <c r="DN44" s="64"/>
      <c r="DO44" s="64"/>
      <c r="DP44" s="64"/>
      <c r="DQ44" s="64"/>
      <c r="DR44" s="64"/>
      <c r="DS44" s="64"/>
      <c r="DT44" s="64"/>
      <c r="DU44" s="64"/>
      <c r="DV44" s="64"/>
      <c r="DW44" s="64"/>
      <c r="DX44" s="64"/>
      <c r="DY44" s="64"/>
      <c r="DZ44" s="64"/>
      <c r="EA44" s="64"/>
      <c r="EB44" s="64"/>
      <c r="EC44" s="64"/>
      <c r="ED44" s="64"/>
      <c r="EE44" s="64"/>
      <c r="EF44" s="64"/>
      <c r="EG44" s="64"/>
      <c r="EH44" s="64"/>
      <c r="EI44" s="64"/>
      <c r="EJ44" s="64"/>
      <c r="EK44" s="64"/>
      <c r="EL44" s="64"/>
      <c r="EM44" s="64"/>
      <c r="EN44" s="64"/>
      <c r="EO44" s="64"/>
      <c r="EP44" s="64"/>
      <c r="EQ44" s="64"/>
      <c r="ER44" s="64"/>
      <c r="ES44" s="64"/>
      <c r="ET44" s="64"/>
      <c r="EU44" s="64"/>
      <c r="EV44" s="64"/>
      <c r="EW44" s="64"/>
      <c r="EX44" s="64"/>
      <c r="EY44" s="64"/>
      <c r="EZ44" s="64"/>
      <c r="FA44" s="64"/>
      <c r="FB44" s="64"/>
      <c r="FC44" s="64"/>
      <c r="FD44" s="64"/>
      <c r="FE44" s="64"/>
      <c r="FF44" s="64"/>
      <c r="FG44" s="64"/>
      <c r="FH44" s="64"/>
      <c r="FI44" s="64"/>
      <c r="FJ44" s="64"/>
      <c r="FK44" s="64"/>
      <c r="FL44" s="64"/>
      <c r="FM44" s="64"/>
      <c r="FN44" s="64"/>
      <c r="FO44" s="64"/>
      <c r="FP44" s="64"/>
      <c r="FQ44" s="64"/>
      <c r="FR44" s="64"/>
      <c r="FS44" s="64"/>
      <c r="FT44" s="64"/>
      <c r="FU44" s="64"/>
      <c r="FV44" s="64"/>
      <c r="FW44" s="64"/>
      <c r="FX44" s="64"/>
      <c r="FY44" s="64"/>
      <c r="FZ44" s="64"/>
      <c r="GA44" s="64"/>
      <c r="GB44" s="64"/>
      <c r="GC44" s="64"/>
      <c r="GD44" s="64"/>
      <c r="GE44" s="64"/>
      <c r="GF44" s="64"/>
      <c r="GG44" s="64"/>
      <c r="GH44" s="64"/>
      <c r="GI44" s="64"/>
      <c r="GJ44" s="64"/>
      <c r="GK44" s="64"/>
      <c r="GL44" s="64"/>
      <c r="GM44" s="64"/>
      <c r="GN44" s="64"/>
      <c r="GO44" s="64"/>
      <c r="GP44" s="64"/>
      <c r="GQ44" s="64"/>
      <c r="GR44" s="64"/>
      <c r="GS44" s="64"/>
      <c r="GT44" s="64"/>
      <c r="GU44" s="64"/>
      <c r="GV44" s="64"/>
      <c r="GW44" s="64"/>
      <c r="GX44" s="64"/>
      <c r="GY44" s="64"/>
      <c r="GZ44" s="64"/>
      <c r="HA44" s="64"/>
      <c r="HB44" s="64"/>
      <c r="HC44" s="64"/>
      <c r="HD44" s="64"/>
      <c r="HE44" s="64"/>
      <c r="HF44" s="64"/>
      <c r="HG44" s="64"/>
      <c r="HH44" s="64"/>
      <c r="HI44" s="64"/>
      <c r="HJ44" s="64"/>
      <c r="HK44" s="64"/>
      <c r="HL44" s="64"/>
      <c r="HM44" s="64"/>
      <c r="HN44" s="64"/>
      <c r="HO44" s="64"/>
      <c r="HP44" s="64"/>
      <c r="HQ44" s="64"/>
      <c r="HR44" s="64"/>
      <c r="HS44" s="64"/>
      <c r="HT44" s="64"/>
      <c r="HU44" s="64"/>
      <c r="HV44" s="64"/>
      <c r="HW44" s="64"/>
      <c r="HX44" s="64"/>
      <c r="HY44" s="64"/>
      <c r="HZ44" s="64"/>
      <c r="IA44" s="64"/>
      <c r="IB44" s="64"/>
      <c r="IC44" s="64"/>
      <c r="ID44" s="64"/>
      <c r="IE44" s="64"/>
      <c r="IF44" s="64"/>
      <c r="IG44" s="64"/>
      <c r="IH44" s="64"/>
      <c r="II44" s="64"/>
      <c r="IJ44" s="64"/>
      <c r="IK44" s="64"/>
      <c r="IL44" s="64"/>
      <c r="IM44" s="64"/>
      <c r="IN44" s="64"/>
      <c r="IO44" s="64"/>
      <c r="IP44" s="64"/>
      <c r="IQ44" s="64"/>
      <c r="IR44" s="64"/>
      <c r="IS44" s="64"/>
      <c r="IT44" s="64"/>
      <c r="IU44" s="64"/>
      <c r="IV44" s="64"/>
      <c r="IW44" s="64"/>
    </row>
    <row r="45" spans="2:257" ht="15.95" customHeight="1" x14ac:dyDescent="0.25">
      <c r="B45" s="70" t="str">
        <f>'25'!A2</f>
        <v>Quadro 25. Infrações por excesso de velocidade</v>
      </c>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c r="CY45" s="64"/>
      <c r="CZ45" s="64"/>
      <c r="DA45" s="64"/>
      <c r="DB45" s="64"/>
      <c r="DC45" s="64"/>
      <c r="DD45" s="64"/>
      <c r="DE45" s="64"/>
      <c r="DF45" s="64"/>
      <c r="DG45" s="64"/>
      <c r="DH45" s="64"/>
      <c r="DI45" s="64"/>
      <c r="DJ45" s="64"/>
      <c r="DK45" s="64"/>
      <c r="DL45" s="64"/>
      <c r="DM45" s="64"/>
      <c r="DN45" s="64"/>
      <c r="DO45" s="64"/>
      <c r="DP45" s="64"/>
      <c r="DQ45" s="64"/>
      <c r="DR45" s="64"/>
      <c r="DS45" s="64"/>
      <c r="DT45" s="64"/>
      <c r="DU45" s="64"/>
      <c r="DV45" s="64"/>
      <c r="DW45" s="64"/>
      <c r="DX45" s="64"/>
      <c r="DY45" s="64"/>
      <c r="DZ45" s="64"/>
      <c r="EA45" s="64"/>
      <c r="EB45" s="64"/>
      <c r="EC45" s="64"/>
      <c r="ED45" s="64"/>
      <c r="EE45" s="64"/>
      <c r="EF45" s="64"/>
      <c r="EG45" s="64"/>
      <c r="EH45" s="64"/>
      <c r="EI45" s="64"/>
      <c r="EJ45" s="64"/>
      <c r="EK45" s="64"/>
      <c r="EL45" s="64"/>
      <c r="EM45" s="64"/>
      <c r="EN45" s="64"/>
      <c r="EO45" s="64"/>
      <c r="EP45" s="64"/>
      <c r="EQ45" s="64"/>
      <c r="ER45" s="64"/>
      <c r="ES45" s="64"/>
      <c r="ET45" s="64"/>
      <c r="EU45" s="64"/>
      <c r="EV45" s="64"/>
      <c r="EW45" s="64"/>
      <c r="EX45" s="64"/>
      <c r="EY45" s="64"/>
      <c r="EZ45" s="64"/>
      <c r="FA45" s="64"/>
      <c r="FB45" s="64"/>
      <c r="FC45" s="64"/>
      <c r="FD45" s="64"/>
      <c r="FE45" s="64"/>
      <c r="FF45" s="64"/>
      <c r="FG45" s="64"/>
      <c r="FH45" s="64"/>
      <c r="FI45" s="64"/>
      <c r="FJ45" s="64"/>
      <c r="FK45" s="64"/>
      <c r="FL45" s="64"/>
      <c r="FM45" s="64"/>
      <c r="FN45" s="64"/>
      <c r="FO45" s="64"/>
      <c r="FP45" s="64"/>
      <c r="FQ45" s="64"/>
      <c r="FR45" s="64"/>
      <c r="FS45" s="64"/>
      <c r="FT45" s="64"/>
      <c r="FU45" s="64"/>
      <c r="FV45" s="64"/>
      <c r="FW45" s="64"/>
      <c r="FX45" s="64"/>
      <c r="FY45" s="64"/>
      <c r="FZ45" s="64"/>
      <c r="GA45" s="64"/>
      <c r="GB45" s="64"/>
      <c r="GC45" s="64"/>
      <c r="GD45" s="64"/>
      <c r="GE45" s="64"/>
      <c r="GF45" s="64"/>
      <c r="GG45" s="64"/>
      <c r="GH45" s="64"/>
      <c r="GI45" s="64"/>
      <c r="GJ45" s="64"/>
      <c r="GK45" s="64"/>
      <c r="GL45" s="64"/>
      <c r="GM45" s="64"/>
      <c r="GN45" s="64"/>
      <c r="GO45" s="64"/>
      <c r="GP45" s="64"/>
      <c r="GQ45" s="64"/>
      <c r="GR45" s="64"/>
      <c r="GS45" s="64"/>
      <c r="GT45" s="64"/>
      <c r="GU45" s="64"/>
      <c r="GV45" s="64"/>
      <c r="GW45" s="64"/>
      <c r="GX45" s="64"/>
      <c r="GY45" s="64"/>
      <c r="GZ45" s="64"/>
      <c r="HA45" s="64"/>
      <c r="HB45" s="64"/>
      <c r="HC45" s="64"/>
      <c r="HD45" s="64"/>
      <c r="HE45" s="64"/>
      <c r="HF45" s="64"/>
      <c r="HG45" s="64"/>
      <c r="HH45" s="64"/>
      <c r="HI45" s="64"/>
      <c r="HJ45" s="64"/>
      <c r="HK45" s="64"/>
      <c r="HL45" s="64"/>
      <c r="HM45" s="64"/>
      <c r="HN45" s="64"/>
      <c r="HO45" s="64"/>
      <c r="HP45" s="64"/>
      <c r="HQ45" s="64"/>
      <c r="HR45" s="64"/>
      <c r="HS45" s="64"/>
      <c r="HT45" s="64"/>
      <c r="HU45" s="64"/>
      <c r="HV45" s="64"/>
      <c r="HW45" s="64"/>
      <c r="HX45" s="64"/>
      <c r="HY45" s="64"/>
      <c r="HZ45" s="64"/>
      <c r="IA45" s="64"/>
      <c r="IB45" s="64"/>
      <c r="IC45" s="64"/>
      <c r="ID45" s="64"/>
      <c r="IE45" s="64"/>
      <c r="IF45" s="64"/>
      <c r="IG45" s="64"/>
      <c r="IH45" s="64"/>
      <c r="II45" s="64"/>
      <c r="IJ45" s="64"/>
      <c r="IK45" s="64"/>
      <c r="IL45" s="64"/>
      <c r="IM45" s="64"/>
      <c r="IN45" s="64"/>
      <c r="IO45" s="64"/>
      <c r="IP45" s="64"/>
      <c r="IQ45" s="64"/>
      <c r="IR45" s="64"/>
      <c r="IS45" s="64"/>
      <c r="IT45" s="64"/>
      <c r="IU45" s="64"/>
      <c r="IV45" s="64"/>
      <c r="IW45" s="64"/>
    </row>
    <row r="46" spans="2:257" ht="15.95" customHeight="1" x14ac:dyDescent="0.25">
      <c r="B46" s="70" t="str">
        <f>'26'!A2</f>
        <v>Quadro 26. Infrações por influência de álcool</v>
      </c>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c r="DQ46" s="64"/>
      <c r="DR46" s="64"/>
      <c r="DS46" s="64"/>
      <c r="DT46" s="64"/>
      <c r="DU46" s="64"/>
      <c r="DV46" s="64"/>
      <c r="DW46" s="64"/>
      <c r="DX46" s="64"/>
      <c r="DY46" s="64"/>
      <c r="DZ46" s="64"/>
      <c r="EA46" s="64"/>
      <c r="EB46" s="64"/>
      <c r="EC46" s="64"/>
      <c r="ED46" s="64"/>
      <c r="EE46" s="64"/>
      <c r="EF46" s="64"/>
      <c r="EG46" s="64"/>
      <c r="EH46" s="64"/>
      <c r="EI46" s="64"/>
      <c r="EJ46" s="64"/>
      <c r="EK46" s="64"/>
      <c r="EL46" s="64"/>
      <c r="EM46" s="64"/>
      <c r="EN46" s="64"/>
      <c r="EO46" s="64"/>
      <c r="EP46" s="64"/>
      <c r="EQ46" s="64"/>
      <c r="ER46" s="64"/>
      <c r="ES46" s="64"/>
      <c r="ET46" s="64"/>
      <c r="EU46" s="64"/>
      <c r="EV46" s="64"/>
      <c r="EW46" s="64"/>
      <c r="EX46" s="64"/>
      <c r="EY46" s="64"/>
      <c r="EZ46" s="64"/>
      <c r="FA46" s="64"/>
      <c r="FB46" s="64"/>
      <c r="FC46" s="64"/>
      <c r="FD46" s="64"/>
      <c r="FE46" s="64"/>
      <c r="FF46" s="64"/>
      <c r="FG46" s="64"/>
      <c r="FH46" s="64"/>
      <c r="FI46" s="64"/>
      <c r="FJ46" s="64"/>
      <c r="FK46" s="64"/>
      <c r="FL46" s="64"/>
      <c r="FM46" s="64"/>
      <c r="FN46" s="64"/>
      <c r="FO46" s="64"/>
      <c r="FP46" s="64"/>
      <c r="FQ46" s="64"/>
      <c r="FR46" s="64"/>
      <c r="FS46" s="64"/>
      <c r="FT46" s="64"/>
      <c r="FU46" s="64"/>
      <c r="FV46" s="64"/>
      <c r="FW46" s="64"/>
      <c r="FX46" s="64"/>
      <c r="FY46" s="64"/>
      <c r="FZ46" s="64"/>
      <c r="GA46" s="64"/>
      <c r="GB46" s="64"/>
      <c r="GC46" s="64"/>
      <c r="GD46" s="64"/>
      <c r="GE46" s="64"/>
      <c r="GF46" s="64"/>
      <c r="GG46" s="64"/>
      <c r="GH46" s="64"/>
      <c r="GI46" s="64"/>
      <c r="GJ46" s="64"/>
      <c r="GK46" s="64"/>
      <c r="GL46" s="64"/>
      <c r="GM46" s="64"/>
      <c r="GN46" s="64"/>
      <c r="GO46" s="64"/>
      <c r="GP46" s="64"/>
      <c r="GQ46" s="64"/>
      <c r="GR46" s="64"/>
      <c r="GS46" s="64"/>
      <c r="GT46" s="64"/>
      <c r="GU46" s="64"/>
      <c r="GV46" s="64"/>
      <c r="GW46" s="64"/>
      <c r="GX46" s="64"/>
      <c r="GY46" s="64"/>
      <c r="GZ46" s="64"/>
      <c r="HA46" s="64"/>
      <c r="HB46" s="64"/>
      <c r="HC46" s="64"/>
      <c r="HD46" s="64"/>
      <c r="HE46" s="64"/>
      <c r="HF46" s="64"/>
      <c r="HG46" s="64"/>
      <c r="HH46" s="64"/>
      <c r="HI46" s="64"/>
      <c r="HJ46" s="64"/>
      <c r="HK46" s="64"/>
      <c r="HL46" s="64"/>
      <c r="HM46" s="64"/>
      <c r="HN46" s="64"/>
      <c r="HO46" s="64"/>
      <c r="HP46" s="64"/>
      <c r="HQ46" s="64"/>
      <c r="HR46" s="64"/>
      <c r="HS46" s="64"/>
      <c r="HT46" s="64"/>
      <c r="HU46" s="64"/>
      <c r="HV46" s="64"/>
      <c r="HW46" s="64"/>
      <c r="HX46" s="64"/>
      <c r="HY46" s="64"/>
      <c r="HZ46" s="64"/>
      <c r="IA46" s="64"/>
      <c r="IB46" s="64"/>
      <c r="IC46" s="64"/>
      <c r="ID46" s="64"/>
      <c r="IE46" s="64"/>
      <c r="IF46" s="64"/>
      <c r="IG46" s="64"/>
      <c r="IH46" s="64"/>
      <c r="II46" s="64"/>
      <c r="IJ46" s="64"/>
      <c r="IK46" s="64"/>
      <c r="IL46" s="64"/>
      <c r="IM46" s="64"/>
      <c r="IN46" s="64"/>
      <c r="IO46" s="64"/>
      <c r="IP46" s="64"/>
      <c r="IQ46" s="64"/>
      <c r="IR46" s="64"/>
      <c r="IS46" s="64"/>
      <c r="IT46" s="64"/>
      <c r="IU46" s="64"/>
      <c r="IV46" s="64"/>
      <c r="IW46" s="64"/>
    </row>
    <row r="47" spans="2:257" ht="15.95" customHeight="1" x14ac:dyDescent="0.25">
      <c r="B47" s="70" t="str">
        <f>'27'!A2</f>
        <v>Quadro 27. Detenções</v>
      </c>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64"/>
      <c r="CJ47" s="64"/>
      <c r="CK47" s="64"/>
      <c r="CL47" s="64"/>
      <c r="CM47" s="64"/>
      <c r="CN47" s="64"/>
      <c r="CO47" s="64"/>
      <c r="CP47" s="64"/>
      <c r="CQ47" s="64"/>
      <c r="CR47" s="64"/>
      <c r="CS47" s="64"/>
      <c r="CT47" s="64"/>
      <c r="CU47" s="64"/>
      <c r="CV47" s="64"/>
      <c r="CW47" s="64"/>
      <c r="CX47" s="64"/>
      <c r="CY47" s="64"/>
      <c r="CZ47" s="64"/>
      <c r="DA47" s="64"/>
      <c r="DB47" s="64"/>
      <c r="DC47" s="64"/>
      <c r="DD47" s="64"/>
      <c r="DE47" s="64"/>
      <c r="DF47" s="64"/>
      <c r="DG47" s="64"/>
      <c r="DH47" s="64"/>
      <c r="DI47" s="64"/>
      <c r="DJ47" s="64"/>
      <c r="DK47" s="64"/>
      <c r="DL47" s="64"/>
      <c r="DM47" s="64"/>
      <c r="DN47" s="64"/>
      <c r="DO47" s="64"/>
      <c r="DP47" s="64"/>
      <c r="DQ47" s="64"/>
      <c r="DR47" s="64"/>
      <c r="DS47" s="64"/>
      <c r="DT47" s="64"/>
      <c r="DU47" s="64"/>
      <c r="DV47" s="64"/>
      <c r="DW47" s="64"/>
      <c r="DX47" s="64"/>
      <c r="DY47" s="64"/>
      <c r="DZ47" s="64"/>
      <c r="EA47" s="64"/>
      <c r="EB47" s="64"/>
      <c r="EC47" s="64"/>
      <c r="ED47" s="64"/>
      <c r="EE47" s="64"/>
      <c r="EF47" s="64"/>
      <c r="EG47" s="64"/>
      <c r="EH47" s="64"/>
      <c r="EI47" s="64"/>
      <c r="EJ47" s="64"/>
      <c r="EK47" s="64"/>
      <c r="EL47" s="64"/>
      <c r="EM47" s="64"/>
      <c r="EN47" s="64"/>
      <c r="EO47" s="64"/>
      <c r="EP47" s="64"/>
      <c r="EQ47" s="64"/>
      <c r="ER47" s="64"/>
      <c r="ES47" s="64"/>
      <c r="ET47" s="64"/>
      <c r="EU47" s="64"/>
      <c r="EV47" s="64"/>
      <c r="EW47" s="64"/>
      <c r="EX47" s="64"/>
      <c r="EY47" s="64"/>
      <c r="EZ47" s="64"/>
      <c r="FA47" s="64"/>
      <c r="FB47" s="64"/>
      <c r="FC47" s="64"/>
      <c r="FD47" s="64"/>
      <c r="FE47" s="64"/>
      <c r="FF47" s="64"/>
      <c r="FG47" s="64"/>
      <c r="FH47" s="64"/>
      <c r="FI47" s="64"/>
      <c r="FJ47" s="64"/>
      <c r="FK47" s="64"/>
      <c r="FL47" s="64"/>
      <c r="FM47" s="64"/>
      <c r="FN47" s="64"/>
      <c r="FO47" s="64"/>
      <c r="FP47" s="64"/>
      <c r="FQ47" s="64"/>
      <c r="FR47" s="64"/>
      <c r="FS47" s="64"/>
      <c r="FT47" s="64"/>
      <c r="FU47" s="64"/>
      <c r="FV47" s="64"/>
      <c r="FW47" s="64"/>
      <c r="FX47" s="64"/>
      <c r="FY47" s="64"/>
      <c r="FZ47" s="64"/>
      <c r="GA47" s="64"/>
      <c r="GB47" s="64"/>
      <c r="GC47" s="64"/>
      <c r="GD47" s="64"/>
      <c r="GE47" s="64"/>
      <c r="GF47" s="64"/>
      <c r="GG47" s="64"/>
      <c r="GH47" s="64"/>
      <c r="GI47" s="64"/>
      <c r="GJ47" s="64"/>
      <c r="GK47" s="64"/>
      <c r="GL47" s="64"/>
      <c r="GM47" s="64"/>
      <c r="GN47" s="64"/>
      <c r="GO47" s="64"/>
      <c r="GP47" s="64"/>
      <c r="GQ47" s="64"/>
      <c r="GR47" s="64"/>
      <c r="GS47" s="64"/>
      <c r="GT47" s="64"/>
      <c r="GU47" s="64"/>
      <c r="GV47" s="64"/>
      <c r="GW47" s="64"/>
      <c r="GX47" s="64"/>
      <c r="GY47" s="64"/>
      <c r="GZ47" s="64"/>
      <c r="HA47" s="64"/>
      <c r="HB47" s="64"/>
      <c r="HC47" s="64"/>
      <c r="HD47" s="64"/>
      <c r="HE47" s="64"/>
      <c r="HF47" s="64"/>
      <c r="HG47" s="64"/>
      <c r="HH47" s="64"/>
      <c r="HI47" s="64"/>
      <c r="HJ47" s="64"/>
      <c r="HK47" s="64"/>
      <c r="HL47" s="64"/>
      <c r="HM47" s="64"/>
      <c r="HN47" s="64"/>
      <c r="HO47" s="64"/>
      <c r="HP47" s="64"/>
      <c r="HQ47" s="64"/>
      <c r="HR47" s="64"/>
      <c r="HS47" s="64"/>
      <c r="HT47" s="64"/>
      <c r="HU47" s="64"/>
      <c r="HV47" s="64"/>
      <c r="HW47" s="64"/>
      <c r="HX47" s="64"/>
      <c r="HY47" s="64"/>
      <c r="HZ47" s="64"/>
      <c r="IA47" s="64"/>
      <c r="IB47" s="64"/>
      <c r="IC47" s="64"/>
      <c r="ID47" s="64"/>
      <c r="IE47" s="64"/>
      <c r="IF47" s="64"/>
      <c r="IG47" s="64"/>
      <c r="IH47" s="64"/>
      <c r="II47" s="64"/>
      <c r="IJ47" s="64"/>
      <c r="IK47" s="64"/>
      <c r="IL47" s="64"/>
      <c r="IM47" s="64"/>
      <c r="IN47" s="64"/>
      <c r="IO47" s="64"/>
      <c r="IP47" s="64"/>
      <c r="IQ47" s="64"/>
      <c r="IR47" s="64"/>
      <c r="IS47" s="64"/>
      <c r="IT47" s="64"/>
      <c r="IU47" s="64"/>
      <c r="IV47" s="64"/>
      <c r="IW47" s="64"/>
    </row>
    <row r="48" spans="2:257" ht="3.75" customHeight="1" x14ac:dyDescent="0.25">
      <c r="B48" s="71"/>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c r="EB48" s="64"/>
      <c r="EC48" s="64"/>
      <c r="ED48" s="64"/>
      <c r="EE48" s="64"/>
      <c r="EF48" s="64"/>
      <c r="EG48" s="64"/>
      <c r="EH48" s="64"/>
      <c r="EI48" s="64"/>
      <c r="EJ48" s="64"/>
      <c r="EK48" s="64"/>
      <c r="EL48" s="64"/>
      <c r="EM48" s="64"/>
      <c r="EN48" s="64"/>
      <c r="EO48" s="64"/>
      <c r="EP48" s="64"/>
      <c r="EQ48" s="64"/>
      <c r="ER48" s="64"/>
      <c r="ES48" s="64"/>
      <c r="ET48" s="64"/>
      <c r="EU48" s="64"/>
      <c r="EV48" s="64"/>
      <c r="EW48" s="64"/>
      <c r="EX48" s="64"/>
      <c r="EY48" s="64"/>
      <c r="EZ48" s="64"/>
      <c r="FA48" s="64"/>
      <c r="FB48" s="64"/>
      <c r="FC48" s="64"/>
      <c r="FD48" s="64"/>
      <c r="FE48" s="64"/>
      <c r="FF48" s="64"/>
      <c r="FG48" s="64"/>
      <c r="FH48" s="64"/>
      <c r="FI48" s="64"/>
      <c r="FJ48" s="64"/>
      <c r="FK48" s="64"/>
      <c r="FL48" s="64"/>
      <c r="FM48" s="64"/>
      <c r="FN48" s="64"/>
      <c r="FO48" s="64"/>
      <c r="FP48" s="64"/>
      <c r="FQ48" s="64"/>
      <c r="FR48" s="64"/>
      <c r="FS48" s="64"/>
      <c r="FT48" s="64"/>
      <c r="FU48" s="64"/>
      <c r="FV48" s="64"/>
      <c r="FW48" s="64"/>
      <c r="FX48" s="64"/>
      <c r="FY48" s="64"/>
      <c r="FZ48" s="64"/>
      <c r="GA48" s="64"/>
      <c r="GB48" s="64"/>
      <c r="GC48" s="64"/>
      <c r="GD48" s="64"/>
      <c r="GE48" s="64"/>
      <c r="GF48" s="64"/>
      <c r="GG48" s="64"/>
      <c r="GH48" s="64"/>
      <c r="GI48" s="64"/>
      <c r="GJ48" s="64"/>
      <c r="GK48" s="64"/>
      <c r="GL48" s="64"/>
      <c r="GM48" s="64"/>
      <c r="GN48" s="64"/>
      <c r="GO48" s="64"/>
      <c r="GP48" s="64"/>
      <c r="GQ48" s="64"/>
      <c r="GR48" s="64"/>
      <c r="GS48" s="64"/>
      <c r="GT48" s="64"/>
      <c r="GU48" s="64"/>
      <c r="GV48" s="64"/>
      <c r="GW48" s="64"/>
      <c r="GX48" s="64"/>
      <c r="GY48" s="64"/>
      <c r="GZ48" s="64"/>
      <c r="HA48" s="64"/>
      <c r="HB48" s="64"/>
      <c r="HC48" s="64"/>
      <c r="HD48" s="64"/>
      <c r="HE48" s="64"/>
      <c r="HF48" s="64"/>
      <c r="HG48" s="64"/>
      <c r="HH48" s="64"/>
      <c r="HI48" s="64"/>
      <c r="HJ48" s="64"/>
      <c r="HK48" s="64"/>
      <c r="HL48" s="64"/>
      <c r="HM48" s="64"/>
      <c r="HN48" s="64"/>
      <c r="HO48" s="64"/>
      <c r="HP48" s="64"/>
      <c r="HQ48" s="64"/>
      <c r="HR48" s="64"/>
      <c r="HS48" s="64"/>
      <c r="HT48" s="64"/>
      <c r="HU48" s="64"/>
      <c r="HV48" s="64"/>
      <c r="HW48" s="64"/>
      <c r="HX48" s="64"/>
      <c r="HY48" s="64"/>
      <c r="HZ48" s="64"/>
      <c r="IA48" s="64"/>
      <c r="IB48" s="64"/>
      <c r="IC48" s="64"/>
      <c r="ID48" s="64"/>
      <c r="IE48" s="64"/>
      <c r="IF48" s="64"/>
      <c r="IG48" s="64"/>
      <c r="IH48" s="64"/>
      <c r="II48" s="64"/>
      <c r="IJ48" s="64"/>
      <c r="IK48" s="64"/>
      <c r="IL48" s="64"/>
      <c r="IM48" s="64"/>
      <c r="IN48" s="64"/>
      <c r="IO48" s="64"/>
      <c r="IP48" s="64"/>
      <c r="IQ48" s="64"/>
      <c r="IR48" s="64"/>
      <c r="IS48" s="64"/>
      <c r="IT48" s="64"/>
      <c r="IU48" s="64"/>
      <c r="IV48" s="64"/>
      <c r="IW48" s="64"/>
    </row>
    <row r="49" spans="2:10" ht="18.95" customHeight="1" x14ac:dyDescent="0.25">
      <c r="B49" s="69" t="s">
        <v>4</v>
      </c>
    </row>
    <row r="50" spans="2:10" ht="3.75" customHeight="1" x14ac:dyDescent="0.25">
      <c r="B50" s="71"/>
    </row>
    <row r="51" spans="2:10" ht="15.95" customHeight="1" x14ac:dyDescent="0.25">
      <c r="B51" s="70" t="str">
        <f>'28'!A2</f>
        <v>Quadro 28. Número de pontos disponíveis dos condutores que se encontravam sancionados com subtração de pontos em setembro de 2025</v>
      </c>
      <c r="C51" s="70"/>
      <c r="D51" s="70"/>
      <c r="E51" s="70"/>
      <c r="F51" s="70"/>
      <c r="G51" s="70"/>
      <c r="H51" s="70"/>
      <c r="I51" s="70"/>
      <c r="J51" s="70"/>
    </row>
    <row r="52" spans="2:10" ht="15.95" customHeight="1" x14ac:dyDescent="0.25">
      <c r="B52" s="70" t="str">
        <f>'29'!A2</f>
        <v>Quadro 29. Número de cartas cassadas, 2016 – setembro de 2025</v>
      </c>
    </row>
    <row r="53" spans="2:10" ht="18.95" customHeight="1" x14ac:dyDescent="0.25">
      <c r="B53" s="70"/>
    </row>
    <row r="54" spans="2:10" x14ac:dyDescent="0.25">
      <c r="B54" s="70"/>
    </row>
  </sheetData>
  <hyperlinks>
    <hyperlink ref="B12" location="'1'!A1" display="'1'!A1" xr:uid="{A3716020-60FC-436B-99C8-DA19830047F8}"/>
    <hyperlink ref="B13" location="'2'!A1" display="'2'!A1" xr:uid="{2D7D1257-53C9-4E9D-9178-F7AD9E2F6801}"/>
    <hyperlink ref="B18" location="'4 e 5'!A1" display="Quadro 4. Sinistralidade no Continente por mês" xr:uid="{469EC150-85A9-41AD-A7D7-DD3EDD70595C}"/>
    <hyperlink ref="B44" location="'24'!A1" display="Quadro 24. Tipologia de infrações" xr:uid="{57931960-3986-4CB5-9568-77F45EF3ACFF}"/>
    <hyperlink ref="B52" location="'29'!A1" display="Quadro 29. Número de cartas cassadas" xr:uid="{1AF0737A-C606-464B-95F6-0D6FDD50E389}"/>
    <hyperlink ref="B22" location="'8'!A1" display="Quadro 8. Sinistralidade no Continente por fatores atmosféricos" xr:uid="{F78C2F30-DAB7-4228-9491-E5EE0D2F0232}"/>
    <hyperlink ref="B23" location="'9 e 10'!A1" display="Quadro 9. Sinistralidade no Continente por natureza" xr:uid="{82B43AD6-6FA7-423B-8900-BC082F180C97}"/>
    <hyperlink ref="B43" location="'23'!A1" display="Quadro 23. Infrações" xr:uid="{52E77EDD-212A-4C79-978E-4A8F7DCD195D}"/>
    <hyperlink ref="B25" location="'11 e 12'!A1" display="Quadro 11. Sinistralidade no Continente por localização" xr:uid="{17EEC7FA-7966-44D1-A896-EC7652D73619}"/>
    <hyperlink ref="B27" location="'13 e 14'!A1" display="Quadro 13. Sinistralidade no Continente por tipo de via" xr:uid="{D4419E03-92E4-4E2A-A84B-0D4F6DE3EE00}"/>
    <hyperlink ref="B29" location="'15'!A1" display="Quadro 15. Sinistralidade no Continente por distrito" xr:uid="{2EEF42B9-B960-45CF-9D3D-B859E1139879}"/>
    <hyperlink ref="B30" location="'16 e 17'!A1" display="Quadro 16. Sinistralidade no Continente por categoria de utilizador" xr:uid="{107DF94A-AA8D-45BB-93CB-003F149904A7}"/>
    <hyperlink ref="B32" location="'18'!A1" display="Quadro 18. Sinistralidade no Continente por categoria de veículo" xr:uid="{D6DE2D9F-8EBC-4049-B493-F27DEA11D7B0}"/>
    <hyperlink ref="B33" location="'19 e 20'!A1" display="Quadro 19. Sinistralidade no Continente por categoria de veículo e peões" xr:uid="{E0C4D6BA-4C55-4101-A307-D2E3CC3C8A69}"/>
    <hyperlink ref="B20" location="'6'!A1" display="Quadro 6. Sinistralidade no Continente por dia da semana" xr:uid="{5F758B1E-E9B8-4A3D-AE83-CBA3FFB5B9A9}"/>
    <hyperlink ref="B21" location="'7'!A1" display="Quadro 7. Sinistralidade no Continente por período horário" xr:uid="{0D38E8B2-0E42-4790-B514-FDEA791ED0A8}"/>
    <hyperlink ref="B42" location="'22'!A1" display="Quadro 22. Condutores e veículos fiscalizados" xr:uid="{51CC3DEA-BF6F-4800-A0CF-C569EA770E37}"/>
    <hyperlink ref="B45" location="'25'!A1" display="Quadro 25. Infrações por excesso de velocidade" xr:uid="{46FF14C0-97E7-414C-A310-515D1EB19A0C}"/>
    <hyperlink ref="B46" location="'26'!A1" display="Quadro 26. Infrações por influência de álcool" xr:uid="{58D4CBAE-72BD-488C-87C4-9CA441DEF0EE}"/>
    <hyperlink ref="B47" location="'27'!A1" display="Quadro 27. Detenções" xr:uid="{A004FAF7-723B-43CD-90BA-1CE93D65B6A3}"/>
    <hyperlink ref="B51" location="'28'!A1" display="Quadro 28. Distribuição de condutores com perda de pontos pelo n.º de pontos disponíveis" xr:uid="{792D6882-B96E-41F0-A968-6D3A246985DE}"/>
    <hyperlink ref="B17" location="'3'!A1" display="'3'!A1" xr:uid="{9EFFA62C-8BF1-47A1-A59D-BA73545CE65A}"/>
    <hyperlink ref="B19" location="'4 e 5'!A1" display="Quadro 5. Sinistralidade no Continente por mês, taxas de variação" xr:uid="{D37473AC-981E-4CBF-BA68-533F8AF28494}"/>
    <hyperlink ref="B24" location="'9 e 10'!A11" display="Quadro 10. Sinistralidade no Continente por natureza, taxas de variação" xr:uid="{AC393800-1116-4E9B-B29A-9668051C28F3}"/>
    <hyperlink ref="B26" location="'11 e 12'!A1" display="Quadro 12. Sinistralidade no Continente por localização, taxas de variação" xr:uid="{4FB07542-6A5C-46A0-BC60-120237B2AF5C}"/>
    <hyperlink ref="B34" location="'19 e 20'!A1" display="Quadro 20. Sinistralidade no Continente por categoria de veículo e peões, taxas de variação" xr:uid="{FF621DCF-8945-45DD-BF5D-B60EA4F68141}"/>
    <hyperlink ref="B28" location="'13 e 14'!A1" display="Quadro 14. Sinistralidade no continente por tipo de via, taxas de variação" xr:uid="{440F005F-FB7E-4DF9-A4E8-9ED624D67231}"/>
    <hyperlink ref="B31" location="'16 e 17'!A1" display="Quadro 17. Sinistralidade no continente por categoria de utilizador, taxas de variação" xr:uid="{46656938-178B-4C1F-82F2-BEE61873A8DF}"/>
    <hyperlink ref="B35" location="'21'!A1" display="Quadro 21. Vítimas mortais por entidade gestora de via (EGV)" xr:uid="{8BC5876E-30C7-4F8B-90A6-71C6193271A5}"/>
  </hyperlinks>
  <pageMargins left="0.25" right="0.25" top="0.75" bottom="0.75" header="0.3" footer="0.3"/>
  <pageSetup paperSize="9" scale="93" orientation="portrait" horizontalDpi="300" verticalDpi="300"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373D4-F9C0-4EEB-9330-CDCD6627411D}">
  <dimension ref="A1:IN37"/>
  <sheetViews>
    <sheetView showGridLines="0" zoomScaleNormal="100" workbookViewId="0"/>
  </sheetViews>
  <sheetFormatPr defaultColWidth="9.140625" defaultRowHeight="15" customHeight="1" x14ac:dyDescent="0.25"/>
  <cols>
    <col min="1" max="1" width="7.85546875" style="63" customWidth="1"/>
    <col min="2" max="2" width="16" style="72" customWidth="1"/>
    <col min="3" max="3" width="54.7109375" style="63" customWidth="1"/>
    <col min="4" max="4" width="3.140625" style="63" customWidth="1"/>
    <col min="5" max="5" width="5.42578125" style="73" customWidth="1"/>
    <col min="6" max="7" width="9.140625" style="73"/>
    <col min="8" max="16384" width="9.140625" style="63"/>
  </cols>
  <sheetData>
    <row r="1" spans="1:248" ht="18.95" customHeight="1" x14ac:dyDescent="0.25"/>
    <row r="2" spans="1:248" ht="18.95" customHeight="1" x14ac:dyDescent="0.25">
      <c r="A2" s="256" t="s">
        <v>5</v>
      </c>
      <c r="B2" s="256"/>
      <c r="C2" s="256"/>
      <c r="D2" s="64"/>
      <c r="E2" s="74"/>
      <c r="F2" s="74"/>
      <c r="G2" s="7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c r="HV2" s="64"/>
      <c r="HW2" s="64"/>
      <c r="HX2" s="64"/>
      <c r="HY2" s="64"/>
      <c r="HZ2" s="64"/>
      <c r="IA2" s="64"/>
      <c r="IB2" s="64"/>
      <c r="IC2" s="64"/>
      <c r="ID2" s="64"/>
      <c r="IE2" s="64"/>
      <c r="IF2" s="64"/>
      <c r="IG2" s="64"/>
      <c r="IH2" s="64"/>
      <c r="II2" s="64"/>
      <c r="IJ2" s="64"/>
      <c r="IK2" s="64"/>
      <c r="IL2" s="64"/>
      <c r="IM2" s="64"/>
      <c r="IN2" s="64"/>
    </row>
    <row r="3" spans="1:248" ht="6" customHeight="1" x14ac:dyDescent="0.25">
      <c r="B3" s="67"/>
      <c r="C3" s="64"/>
      <c r="D3" s="64"/>
      <c r="E3" s="74"/>
      <c r="F3" s="74"/>
      <c r="G3" s="7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64"/>
      <c r="BY3" s="64"/>
      <c r="BZ3" s="64"/>
      <c r="CA3" s="64"/>
      <c r="CB3" s="64"/>
      <c r="CC3" s="64"/>
      <c r="CD3" s="64"/>
      <c r="CE3" s="64"/>
      <c r="CF3" s="64"/>
      <c r="CG3" s="64"/>
      <c r="CH3" s="64"/>
      <c r="CI3" s="64"/>
      <c r="CJ3" s="64"/>
      <c r="CK3" s="64"/>
      <c r="CL3" s="64"/>
      <c r="CM3" s="64"/>
      <c r="CN3" s="64"/>
      <c r="CO3" s="64"/>
      <c r="CP3" s="64"/>
      <c r="CQ3" s="64"/>
      <c r="CR3" s="64"/>
      <c r="CS3" s="64"/>
      <c r="CT3" s="64"/>
      <c r="CU3" s="64"/>
      <c r="CV3" s="64"/>
      <c r="CW3" s="64"/>
      <c r="CX3" s="64"/>
      <c r="CY3" s="64"/>
      <c r="CZ3" s="64"/>
      <c r="DA3" s="64"/>
      <c r="DB3" s="64"/>
      <c r="DC3" s="64"/>
      <c r="DD3" s="64"/>
      <c r="DE3" s="64"/>
      <c r="DF3" s="64"/>
      <c r="DG3" s="64"/>
      <c r="DH3" s="64"/>
      <c r="DI3" s="64"/>
      <c r="DJ3" s="64"/>
      <c r="DK3" s="64"/>
      <c r="DL3" s="64"/>
      <c r="DM3" s="64"/>
      <c r="DN3" s="64"/>
      <c r="DO3" s="64"/>
      <c r="DP3" s="64"/>
      <c r="DQ3" s="64"/>
      <c r="DR3" s="64"/>
      <c r="DS3" s="64"/>
      <c r="DT3" s="64"/>
      <c r="DU3" s="64"/>
      <c r="DV3" s="64"/>
      <c r="DW3" s="64"/>
      <c r="DX3" s="64"/>
      <c r="DY3" s="64"/>
      <c r="DZ3" s="64"/>
      <c r="EA3" s="64"/>
      <c r="EB3" s="64"/>
      <c r="EC3" s="64"/>
      <c r="ED3" s="64"/>
      <c r="EE3" s="64"/>
      <c r="EF3" s="64"/>
      <c r="EG3" s="64"/>
      <c r="EH3" s="64"/>
      <c r="EI3" s="64"/>
      <c r="EJ3" s="64"/>
      <c r="EK3" s="64"/>
      <c r="EL3" s="64"/>
      <c r="EM3" s="64"/>
      <c r="EN3" s="64"/>
      <c r="EO3" s="64"/>
      <c r="EP3" s="64"/>
      <c r="EQ3" s="64"/>
      <c r="ER3" s="64"/>
      <c r="ES3" s="64"/>
      <c r="ET3" s="64"/>
      <c r="EU3" s="64"/>
      <c r="EV3" s="64"/>
      <c r="EW3" s="64"/>
      <c r="EX3" s="64"/>
      <c r="EY3" s="64"/>
      <c r="EZ3" s="64"/>
      <c r="FA3" s="64"/>
      <c r="FB3" s="64"/>
      <c r="FC3" s="64"/>
      <c r="FD3" s="64"/>
      <c r="FE3" s="64"/>
      <c r="FF3" s="64"/>
      <c r="FG3" s="64"/>
      <c r="FH3" s="64"/>
      <c r="FI3" s="64"/>
      <c r="FJ3" s="64"/>
      <c r="FK3" s="64"/>
      <c r="FL3" s="64"/>
      <c r="FM3" s="64"/>
      <c r="FN3" s="64"/>
      <c r="FO3" s="64"/>
      <c r="FP3" s="64"/>
      <c r="FQ3" s="64"/>
      <c r="FR3" s="64"/>
      <c r="FS3" s="64"/>
      <c r="FT3" s="64"/>
      <c r="FU3" s="64"/>
      <c r="FV3" s="64"/>
      <c r="FW3" s="64"/>
      <c r="FX3" s="64"/>
      <c r="FY3" s="64"/>
      <c r="FZ3" s="64"/>
      <c r="GA3" s="64"/>
      <c r="GB3" s="64"/>
      <c r="GC3" s="64"/>
      <c r="GD3" s="64"/>
      <c r="GE3" s="64"/>
      <c r="GF3" s="64"/>
      <c r="GG3" s="64"/>
      <c r="GH3" s="64"/>
      <c r="GI3" s="64"/>
      <c r="GJ3" s="64"/>
      <c r="GK3" s="64"/>
      <c r="GL3" s="64"/>
      <c r="GM3" s="64"/>
      <c r="GN3" s="64"/>
      <c r="GO3" s="64"/>
      <c r="GP3" s="64"/>
      <c r="GQ3" s="64"/>
      <c r="GR3" s="64"/>
      <c r="GS3" s="64"/>
      <c r="GT3" s="64"/>
      <c r="GU3" s="64"/>
      <c r="GV3" s="64"/>
      <c r="GW3" s="64"/>
      <c r="GX3" s="64"/>
      <c r="GY3" s="64"/>
      <c r="GZ3" s="64"/>
      <c r="HA3" s="64"/>
      <c r="HB3" s="64"/>
      <c r="HC3" s="64"/>
      <c r="HD3" s="64"/>
      <c r="HE3" s="64"/>
      <c r="HF3" s="64"/>
      <c r="HG3" s="64"/>
      <c r="HH3" s="64"/>
      <c r="HI3" s="64"/>
      <c r="HJ3" s="64"/>
      <c r="HK3" s="64"/>
      <c r="HL3" s="64"/>
      <c r="HM3" s="64"/>
      <c r="HN3" s="64"/>
      <c r="HO3" s="64"/>
      <c r="HP3" s="64"/>
      <c r="HQ3" s="64"/>
      <c r="HR3" s="64"/>
      <c r="HS3" s="64"/>
      <c r="HT3" s="64"/>
      <c r="HU3" s="64"/>
      <c r="HV3" s="64"/>
      <c r="HW3" s="64"/>
      <c r="HX3" s="64"/>
      <c r="HY3" s="64"/>
      <c r="HZ3" s="64"/>
      <c r="IA3" s="64"/>
      <c r="IB3" s="64"/>
      <c r="IC3" s="64"/>
      <c r="ID3" s="64"/>
      <c r="IE3" s="64"/>
      <c r="IF3" s="64"/>
      <c r="IG3" s="64"/>
      <c r="IH3" s="64"/>
      <c r="II3" s="64"/>
      <c r="IJ3" s="64"/>
      <c r="IK3" s="64"/>
      <c r="IL3" s="64"/>
      <c r="IM3" s="64"/>
      <c r="IN3" s="64"/>
    </row>
    <row r="4" spans="1:248" ht="18.95" customHeight="1" x14ac:dyDescent="0.25">
      <c r="B4" s="75" t="s">
        <v>6</v>
      </c>
      <c r="C4" s="76" t="s">
        <v>7</v>
      </c>
    </row>
    <row r="5" spans="1:248" ht="18.95" customHeight="1" x14ac:dyDescent="0.25">
      <c r="B5" s="75" t="s">
        <v>8</v>
      </c>
      <c r="C5" s="76" t="s">
        <v>9</v>
      </c>
    </row>
    <row r="6" spans="1:248" ht="18.95" customHeight="1" x14ac:dyDescent="0.25">
      <c r="B6" s="75" t="s">
        <v>10</v>
      </c>
      <c r="C6" s="76" t="s">
        <v>11</v>
      </c>
    </row>
    <row r="7" spans="1:248" ht="18.95" customHeight="1" x14ac:dyDescent="0.25">
      <c r="B7" s="75" t="s">
        <v>12</v>
      </c>
      <c r="C7" s="76" t="s">
        <v>13</v>
      </c>
    </row>
    <row r="8" spans="1:248" ht="18.95" customHeight="1" x14ac:dyDescent="0.25">
      <c r="B8" s="75" t="s">
        <v>71</v>
      </c>
      <c r="C8" s="76" t="s">
        <v>72</v>
      </c>
    </row>
    <row r="9" spans="1:248" ht="18.95" customHeight="1" x14ac:dyDescent="0.25">
      <c r="B9" s="77" t="s">
        <v>14</v>
      </c>
      <c r="C9" s="78" t="s">
        <v>15</v>
      </c>
    </row>
    <row r="10" spans="1:248" ht="18.95" customHeight="1" x14ac:dyDescent="0.25">
      <c r="B10" s="77" t="s">
        <v>16</v>
      </c>
      <c r="C10" s="78" t="s">
        <v>17</v>
      </c>
      <c r="E10" s="79"/>
      <c r="F10" s="79"/>
    </row>
    <row r="11" spans="1:248" ht="18.95" customHeight="1" x14ac:dyDescent="0.25">
      <c r="B11" s="77" t="s">
        <v>73</v>
      </c>
      <c r="C11" s="78" t="s">
        <v>78</v>
      </c>
      <c r="E11" s="79"/>
      <c r="F11" s="79"/>
    </row>
    <row r="12" spans="1:248" ht="18.95" customHeight="1" x14ac:dyDescent="0.25">
      <c r="B12" s="77" t="s">
        <v>74</v>
      </c>
      <c r="C12" s="78" t="s">
        <v>75</v>
      </c>
      <c r="E12" s="79"/>
      <c r="F12" s="79"/>
    </row>
    <row r="13" spans="1:248" ht="18.95" customHeight="1" x14ac:dyDescent="0.25">
      <c r="B13" s="77" t="s">
        <v>76</v>
      </c>
      <c r="C13" s="78" t="s">
        <v>77</v>
      </c>
      <c r="E13" s="79"/>
      <c r="F13" s="79"/>
    </row>
    <row r="14" spans="1:248" ht="18.95" customHeight="1" x14ac:dyDescent="0.25">
      <c r="B14" s="77" t="s">
        <v>18</v>
      </c>
      <c r="C14" s="78" t="s">
        <v>19</v>
      </c>
      <c r="E14" s="79"/>
      <c r="F14" s="79"/>
    </row>
    <row r="15" spans="1:248" ht="18.95" customHeight="1" x14ac:dyDescent="0.25">
      <c r="B15" s="77" t="s">
        <v>20</v>
      </c>
      <c r="C15" s="78" t="s">
        <v>21</v>
      </c>
      <c r="E15" s="79"/>
      <c r="F15" s="79"/>
    </row>
    <row r="16" spans="1:248" ht="18.95" customHeight="1" x14ac:dyDescent="0.25">
      <c r="B16" s="80" t="s">
        <v>22</v>
      </c>
      <c r="C16" s="78" t="s">
        <v>23</v>
      </c>
      <c r="E16" s="79"/>
      <c r="F16" s="79"/>
    </row>
    <row r="17" spans="1:6" ht="18.95" customHeight="1" x14ac:dyDescent="0.25">
      <c r="B17" s="80" t="s">
        <v>79</v>
      </c>
      <c r="C17" s="78" t="s">
        <v>80</v>
      </c>
      <c r="E17" s="79"/>
      <c r="F17" s="79"/>
    </row>
    <row r="18" spans="1:6" ht="18.95" customHeight="1" x14ac:dyDescent="0.25">
      <c r="B18" s="80" t="s">
        <v>24</v>
      </c>
      <c r="C18" s="78" t="s">
        <v>25</v>
      </c>
      <c r="E18" s="79"/>
      <c r="F18" s="79"/>
    </row>
    <row r="19" spans="1:6" ht="18.95" customHeight="1" x14ac:dyDescent="0.25">
      <c r="B19" s="80" t="s">
        <v>81</v>
      </c>
      <c r="C19" s="78" t="s">
        <v>82</v>
      </c>
      <c r="E19" s="79"/>
      <c r="F19" s="79"/>
    </row>
    <row r="20" spans="1:6" ht="18.95" customHeight="1" x14ac:dyDescent="0.25">
      <c r="B20" s="77" t="s">
        <v>26</v>
      </c>
      <c r="C20" s="78" t="s">
        <v>27</v>
      </c>
      <c r="E20" s="79"/>
      <c r="F20" s="79"/>
    </row>
    <row r="21" spans="1:6" ht="18.95" customHeight="1" x14ac:dyDescent="0.25">
      <c r="B21" s="77" t="s">
        <v>28</v>
      </c>
      <c r="C21" s="78" t="s">
        <v>29</v>
      </c>
      <c r="E21" s="79"/>
      <c r="F21" s="79"/>
    </row>
    <row r="22" spans="1:6" ht="18.95" customHeight="1" x14ac:dyDescent="0.25">
      <c r="A22" s="72"/>
      <c r="B22" s="77" t="s">
        <v>38</v>
      </c>
      <c r="C22" s="78" t="s">
        <v>39</v>
      </c>
      <c r="E22" s="79"/>
      <c r="F22" s="79"/>
    </row>
    <row r="23" spans="1:6" ht="18.95" customHeight="1" x14ac:dyDescent="0.25">
      <c r="A23" s="72"/>
      <c r="B23" s="80" t="s">
        <v>30</v>
      </c>
      <c r="C23" s="78" t="s">
        <v>128</v>
      </c>
      <c r="E23" s="79"/>
      <c r="F23" s="79"/>
    </row>
    <row r="24" spans="1:6" ht="18.95" customHeight="1" x14ac:dyDescent="0.25">
      <c r="A24" s="72"/>
      <c r="B24" s="80" t="s">
        <v>31</v>
      </c>
      <c r="C24" s="78" t="s">
        <v>150</v>
      </c>
      <c r="E24" s="79"/>
      <c r="F24" s="79"/>
    </row>
    <row r="25" spans="1:6" ht="18.95" customHeight="1" x14ac:dyDescent="0.25">
      <c r="A25" s="72"/>
      <c r="B25" s="81" t="s">
        <v>32</v>
      </c>
      <c r="C25" s="82" t="s">
        <v>33</v>
      </c>
      <c r="E25" s="79"/>
      <c r="F25" s="79"/>
    </row>
    <row r="26" spans="1:6" ht="18.95" customHeight="1" x14ac:dyDescent="0.25">
      <c r="A26" s="72"/>
      <c r="E26" s="79"/>
      <c r="F26" s="79"/>
    </row>
    <row r="27" spans="1:6" ht="18.95" customHeight="1" x14ac:dyDescent="0.25"/>
    <row r="28" spans="1:6" ht="18.95" customHeight="1" x14ac:dyDescent="0.25"/>
    <row r="29" spans="1:6" ht="18.95" customHeight="1" x14ac:dyDescent="0.25"/>
    <row r="30" spans="1:6" ht="18.95" customHeight="1" x14ac:dyDescent="0.25"/>
    <row r="31" spans="1:6" ht="18.95" customHeight="1" x14ac:dyDescent="0.25"/>
    <row r="32" spans="1:6" ht="18.95" customHeight="1" x14ac:dyDescent="0.25"/>
    <row r="33" ht="18.95" customHeight="1" x14ac:dyDescent="0.25"/>
    <row r="34" ht="18.95" customHeight="1" x14ac:dyDescent="0.25"/>
    <row r="35" ht="18.95" customHeight="1" x14ac:dyDescent="0.25"/>
    <row r="36" ht="18.95" customHeight="1" x14ac:dyDescent="0.25"/>
    <row r="37" ht="18.95" customHeight="1" x14ac:dyDescent="0.25"/>
  </sheetData>
  <mergeCells count="1">
    <mergeCell ref="A2:C2"/>
  </mergeCells>
  <pageMargins left="0.78740157480314965" right="0.78740157480314965" top="0.78740157480314965" bottom="0.78740157480314965" header="0" footer="0"/>
  <pageSetup paperSize="9" fitToHeight="2" orientation="portrait" horizontalDpi="300" verticalDpi="300" r:id="rId1"/>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C5E91-DD61-47DC-AD57-2BCC7D1A2205}">
  <sheetPr>
    <pageSetUpPr fitToPage="1"/>
  </sheetPr>
  <dimension ref="A1:AA48"/>
  <sheetViews>
    <sheetView showGridLines="0" zoomScaleNormal="100" workbookViewId="0"/>
  </sheetViews>
  <sheetFormatPr defaultColWidth="9.140625" defaultRowHeight="12" x14ac:dyDescent="0.2"/>
  <cols>
    <col min="1" max="1" width="18.7109375" style="3" customWidth="1"/>
    <col min="2" max="13" width="7.85546875" style="3" customWidth="1"/>
    <col min="14" max="14" width="2.85546875" style="3" customWidth="1"/>
    <col min="15" max="16384" width="9.140625" style="3"/>
  </cols>
  <sheetData>
    <row r="1" spans="1:27" ht="5.25" customHeight="1" x14ac:dyDescent="0.2"/>
    <row r="2" spans="1:27" ht="18.95" customHeight="1" x14ac:dyDescent="0.25">
      <c r="A2" s="13" t="s">
        <v>174</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ht="18.95" customHeight="1" x14ac:dyDescent="0.2">
      <c r="A4" s="257" t="s">
        <v>221</v>
      </c>
      <c r="B4" s="259" t="s">
        <v>6</v>
      </c>
      <c r="C4" s="260"/>
      <c r="D4" s="261"/>
      <c r="E4" s="259" t="s">
        <v>31</v>
      </c>
      <c r="F4" s="260"/>
      <c r="G4" s="261"/>
      <c r="H4" s="260" t="s">
        <v>18</v>
      </c>
      <c r="I4" s="260"/>
      <c r="J4" s="260"/>
      <c r="K4" s="259" t="s">
        <v>20</v>
      </c>
      <c r="L4" s="260"/>
      <c r="M4" s="260"/>
      <c r="N4" s="1"/>
      <c r="O4" s="1"/>
      <c r="P4" s="1"/>
      <c r="Q4" s="1"/>
      <c r="R4" s="1"/>
      <c r="S4" s="1"/>
      <c r="T4" s="1"/>
      <c r="U4" s="1"/>
      <c r="V4" s="1"/>
      <c r="W4" s="1"/>
      <c r="X4" s="1"/>
      <c r="Y4" s="1"/>
      <c r="Z4" s="1"/>
      <c r="AA4" s="1"/>
    </row>
    <row r="5" spans="1:27" ht="30" customHeight="1" x14ac:dyDescent="0.2">
      <c r="A5" s="258"/>
      <c r="B5" s="42">
        <v>2019</v>
      </c>
      <c r="C5" s="43">
        <v>2025</v>
      </c>
      <c r="D5" s="44" t="s">
        <v>175</v>
      </c>
      <c r="E5" s="42">
        <v>2019</v>
      </c>
      <c r="F5" s="43">
        <v>2025</v>
      </c>
      <c r="G5" s="44" t="s">
        <v>175</v>
      </c>
      <c r="H5" s="42">
        <v>2019</v>
      </c>
      <c r="I5" s="43">
        <v>2025</v>
      </c>
      <c r="J5" s="44" t="s">
        <v>175</v>
      </c>
      <c r="K5" s="42">
        <v>2019</v>
      </c>
      <c r="L5" s="43">
        <v>2025</v>
      </c>
      <c r="M5" s="44" t="s">
        <v>175</v>
      </c>
      <c r="N5" s="1"/>
      <c r="O5" s="1"/>
      <c r="P5" s="1"/>
      <c r="Q5" s="1"/>
      <c r="R5" s="1"/>
      <c r="S5" s="1"/>
      <c r="T5" s="1"/>
      <c r="U5" s="1"/>
      <c r="V5" s="1"/>
      <c r="W5" s="1"/>
      <c r="X5" s="1"/>
      <c r="Y5" s="1"/>
      <c r="Z5" s="1"/>
      <c r="AA5" s="1"/>
    </row>
    <row r="6" spans="1:27" ht="18.95" customHeight="1" x14ac:dyDescent="0.2">
      <c r="A6" s="24" t="s">
        <v>34</v>
      </c>
      <c r="B6" s="91">
        <v>26306</v>
      </c>
      <c r="C6" s="92">
        <v>27681</v>
      </c>
      <c r="D6" s="93">
        <f>(C6/B6)-1</f>
        <v>5.2269444233254747E-2</v>
      </c>
      <c r="E6" s="91">
        <v>360</v>
      </c>
      <c r="F6" s="92">
        <v>330</v>
      </c>
      <c r="G6" s="93">
        <f>(F6/E6)-1</f>
        <v>-8.333333333333337E-2</v>
      </c>
      <c r="H6" s="92">
        <v>1764</v>
      </c>
      <c r="I6" s="92">
        <v>1996</v>
      </c>
      <c r="J6" s="94">
        <f>(I6/H6)-1</f>
        <v>0.13151927437641731</v>
      </c>
      <c r="K6" s="91">
        <v>31965</v>
      </c>
      <c r="L6" s="92">
        <v>32483</v>
      </c>
      <c r="M6" s="94">
        <f>(L6/K6)-1</f>
        <v>1.6205224464257872E-2</v>
      </c>
      <c r="N6" s="1"/>
      <c r="O6" s="1"/>
      <c r="P6" s="1"/>
      <c r="Q6" s="1"/>
      <c r="R6" s="1"/>
      <c r="S6" s="1"/>
      <c r="T6" s="27"/>
      <c r="U6" s="1"/>
      <c r="V6" s="1"/>
      <c r="W6" s="1"/>
      <c r="X6" s="1"/>
      <c r="Y6" s="1"/>
      <c r="Z6" s="1"/>
      <c r="AA6" s="1"/>
    </row>
    <row r="7" spans="1:27" ht="18.95" customHeight="1" x14ac:dyDescent="0.2">
      <c r="A7" s="24" t="s">
        <v>36</v>
      </c>
      <c r="B7" s="91">
        <v>461</v>
      </c>
      <c r="C7" s="92">
        <v>499</v>
      </c>
      <c r="D7" s="93">
        <f t="shared" ref="D7:D9" si="0">(C7/B7)-1</f>
        <v>8.2429501084598789E-2</v>
      </c>
      <c r="E7" s="91">
        <v>3</v>
      </c>
      <c r="F7" s="92">
        <v>4</v>
      </c>
      <c r="G7" s="93">
        <f>(F7/E7)-1</f>
        <v>0.33333333333333326</v>
      </c>
      <c r="H7" s="92">
        <v>89</v>
      </c>
      <c r="I7" s="92">
        <v>98</v>
      </c>
      <c r="J7" s="94">
        <f t="shared" ref="J7:J9" si="1">(I7/H7)-1</f>
        <v>0.101123595505618</v>
      </c>
      <c r="K7" s="91">
        <v>530</v>
      </c>
      <c r="L7" s="92">
        <v>577</v>
      </c>
      <c r="M7" s="94">
        <f t="shared" ref="M7:M9" si="2">(L7/K7)-1</f>
        <v>8.8679245283018959E-2</v>
      </c>
      <c r="N7" s="1"/>
      <c r="O7" s="1"/>
      <c r="P7" s="1"/>
      <c r="Q7" s="1"/>
      <c r="R7" s="1"/>
      <c r="S7" s="1"/>
      <c r="T7" s="1"/>
      <c r="U7" s="1"/>
      <c r="V7" s="1"/>
      <c r="W7" s="1"/>
      <c r="X7" s="1"/>
      <c r="Y7" s="1"/>
      <c r="Z7" s="1"/>
      <c r="AA7" s="1"/>
    </row>
    <row r="8" spans="1:27" ht="18.95" customHeight="1" x14ac:dyDescent="0.2">
      <c r="A8" s="24" t="s">
        <v>37</v>
      </c>
      <c r="B8" s="91">
        <v>703</v>
      </c>
      <c r="C8" s="92">
        <v>795</v>
      </c>
      <c r="D8" s="93">
        <f t="shared" si="0"/>
        <v>0.13086770981507834</v>
      </c>
      <c r="E8" s="91">
        <v>36</v>
      </c>
      <c r="F8" s="92">
        <v>3</v>
      </c>
      <c r="G8" s="93">
        <f t="shared" ref="G8:G9" si="3">(F8/E8)-1</f>
        <v>-0.91666666666666663</v>
      </c>
      <c r="H8" s="92">
        <v>93</v>
      </c>
      <c r="I8" s="92">
        <v>67</v>
      </c>
      <c r="J8" s="94">
        <f t="shared" si="1"/>
        <v>-0.27956989247311825</v>
      </c>
      <c r="K8" s="91">
        <v>807</v>
      </c>
      <c r="L8" s="92">
        <v>916</v>
      </c>
      <c r="M8" s="94">
        <f t="shared" si="2"/>
        <v>0.13506815365551428</v>
      </c>
      <c r="N8" s="1"/>
      <c r="O8" s="1"/>
      <c r="P8" s="1"/>
      <c r="Q8" s="1"/>
      <c r="R8" s="1"/>
      <c r="S8" s="1"/>
      <c r="T8" s="1"/>
      <c r="U8" s="1"/>
      <c r="V8" s="1"/>
      <c r="W8" s="1"/>
      <c r="X8" s="1"/>
      <c r="Y8" s="1"/>
      <c r="Z8" s="1"/>
      <c r="AA8" s="1"/>
    </row>
    <row r="9" spans="1:27" ht="18.95" customHeight="1" thickBot="1" x14ac:dyDescent="0.25">
      <c r="A9" s="62" t="s">
        <v>35</v>
      </c>
      <c r="B9" s="96">
        <f>SUM(B6:B8)</f>
        <v>27470</v>
      </c>
      <c r="C9" s="97">
        <f>SUM(C6:C8)</f>
        <v>28975</v>
      </c>
      <c r="D9" s="98">
        <f t="shared" si="0"/>
        <v>5.4787040407717535E-2</v>
      </c>
      <c r="E9" s="96">
        <f>SUM(E6:E8)</f>
        <v>399</v>
      </c>
      <c r="F9" s="97">
        <f>SUM(F6:F8)</f>
        <v>337</v>
      </c>
      <c r="G9" s="98">
        <f t="shared" si="3"/>
        <v>-0.15538847117794485</v>
      </c>
      <c r="H9" s="97">
        <f>SUM(H6:H8)</f>
        <v>1946</v>
      </c>
      <c r="I9" s="97">
        <f>SUM(I6:I8)</f>
        <v>2161</v>
      </c>
      <c r="J9" s="99">
        <f t="shared" si="1"/>
        <v>0.11048304213771831</v>
      </c>
      <c r="K9" s="96">
        <f>SUM(K6:K8)</f>
        <v>33302</v>
      </c>
      <c r="L9" s="97">
        <f>SUM(L6:L8)</f>
        <v>33976</v>
      </c>
      <c r="M9" s="99">
        <f t="shared" si="2"/>
        <v>2.0239024683202267E-2</v>
      </c>
      <c r="N9" s="1"/>
      <c r="O9" s="1"/>
      <c r="P9" s="1"/>
      <c r="Q9" s="1"/>
      <c r="R9" s="1"/>
      <c r="S9" s="1"/>
      <c r="T9" s="1"/>
      <c r="U9" s="1"/>
      <c r="V9" s="1"/>
      <c r="W9" s="1"/>
      <c r="X9" s="1"/>
      <c r="Y9" s="1"/>
      <c r="Z9" s="1"/>
      <c r="AA9" s="1"/>
    </row>
    <row r="10" spans="1:27" ht="18.9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8.9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27"/>
      <c r="F15" s="1"/>
      <c r="G15" s="1"/>
      <c r="H15" s="1"/>
      <c r="I15" s="1"/>
      <c r="J15" s="1"/>
      <c r="K15" s="1"/>
      <c r="L15" s="1"/>
      <c r="M15" s="1"/>
      <c r="N15" s="1"/>
      <c r="O15" s="1"/>
      <c r="P15" s="1"/>
      <c r="Q15" s="1"/>
      <c r="R15" s="1"/>
      <c r="S15" s="1"/>
      <c r="T15" s="1"/>
      <c r="U15" s="1"/>
      <c r="V15" s="1"/>
      <c r="W15" s="1"/>
      <c r="X15" s="1"/>
      <c r="Y15" s="1"/>
      <c r="Z15" s="1"/>
      <c r="AA15" s="1"/>
    </row>
    <row r="16" spans="1:27"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5">
    <mergeCell ref="A4:A5"/>
    <mergeCell ref="B4:D4"/>
    <mergeCell ref="E4:G4"/>
    <mergeCell ref="H4:J4"/>
    <mergeCell ref="K4:M4"/>
  </mergeCells>
  <printOptions horizontalCentered="1"/>
  <pageMargins left="0.70866141732283472" right="0.70866141732283472" top="0.74803149606299213" bottom="0.74803149606299213" header="0.31496062992125984" footer="0.31496062992125984"/>
  <pageSetup paperSize="9" scale="75" orientation="portrait" verticalDpi="0" r:id="rId1"/>
  <ignoredErrors>
    <ignoredError sqref="B9:C9 E9:F9 H9:I9 K9:L9" formulaRange="1"/>
    <ignoredError sqref="D9 G9 J9" formula="1"/>
    <ignoredError sqref="D6" evalErro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F864-A9E4-451A-B473-D736C7150D8F}">
  <sheetPr>
    <pageSetUpPr fitToPage="1"/>
  </sheetPr>
  <dimension ref="A1:AA48"/>
  <sheetViews>
    <sheetView showGridLines="0" zoomScaleNormal="100" workbookViewId="0"/>
  </sheetViews>
  <sheetFormatPr defaultColWidth="9.140625" defaultRowHeight="12" x14ac:dyDescent="0.2"/>
  <cols>
    <col min="1" max="1" width="18.7109375" style="3" customWidth="1"/>
    <col min="2" max="13" width="7.85546875" style="3" customWidth="1"/>
    <col min="14" max="16384" width="9.140625" style="3"/>
  </cols>
  <sheetData>
    <row r="1" spans="1:27" ht="6" customHeight="1" x14ac:dyDescent="0.2"/>
    <row r="2" spans="1:27" ht="18.95" customHeight="1" x14ac:dyDescent="0.25">
      <c r="A2" s="13" t="s">
        <v>176</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ht="18.95" customHeight="1" x14ac:dyDescent="0.2">
      <c r="A4" s="257" t="str">
        <f>+'1'!A4</f>
        <v>Janeiro-setembro</v>
      </c>
      <c r="B4" s="259" t="s">
        <v>6</v>
      </c>
      <c r="C4" s="260"/>
      <c r="D4" s="261"/>
      <c r="E4" s="260" t="s">
        <v>31</v>
      </c>
      <c r="F4" s="260"/>
      <c r="G4" s="260"/>
      <c r="H4" s="262" t="s">
        <v>18</v>
      </c>
      <c r="I4" s="260"/>
      <c r="J4" s="263"/>
      <c r="K4" s="260" t="s">
        <v>20</v>
      </c>
      <c r="L4" s="260"/>
      <c r="M4" s="260"/>
      <c r="N4" s="1"/>
      <c r="O4" s="1"/>
      <c r="P4" s="1"/>
      <c r="Q4" s="1"/>
      <c r="R4" s="1"/>
      <c r="S4" s="1"/>
      <c r="T4" s="1"/>
      <c r="U4" s="1"/>
      <c r="V4" s="1"/>
      <c r="W4" s="1"/>
      <c r="X4" s="1"/>
      <c r="Y4" s="1"/>
      <c r="Z4" s="1"/>
      <c r="AA4" s="1"/>
    </row>
    <row r="5" spans="1:27" ht="30" customHeight="1" x14ac:dyDescent="0.2">
      <c r="A5" s="258"/>
      <c r="B5" s="42">
        <v>2024</v>
      </c>
      <c r="C5" s="43">
        <v>2025</v>
      </c>
      <c r="D5" s="44" t="s">
        <v>177</v>
      </c>
      <c r="E5" s="42">
        <v>2024</v>
      </c>
      <c r="F5" s="43">
        <v>2025</v>
      </c>
      <c r="G5" s="44" t="s">
        <v>177</v>
      </c>
      <c r="H5" s="42">
        <v>2024</v>
      </c>
      <c r="I5" s="43">
        <v>2025</v>
      </c>
      <c r="J5" s="44" t="s">
        <v>177</v>
      </c>
      <c r="K5" s="42">
        <v>2024</v>
      </c>
      <c r="L5" s="43">
        <v>2025</v>
      </c>
      <c r="M5" s="44" t="s">
        <v>177</v>
      </c>
      <c r="N5" s="1"/>
      <c r="O5" s="1"/>
      <c r="P5" s="1"/>
      <c r="Q5" s="1"/>
      <c r="R5" s="1"/>
      <c r="S5" s="1"/>
      <c r="T5" s="1"/>
      <c r="U5" s="1"/>
      <c r="V5" s="1"/>
      <c r="W5" s="1"/>
      <c r="X5" s="1"/>
      <c r="Y5" s="1"/>
      <c r="Z5" s="1"/>
      <c r="AA5" s="1"/>
    </row>
    <row r="6" spans="1:27" ht="18.95" customHeight="1" x14ac:dyDescent="0.2">
      <c r="A6" s="24" t="s">
        <v>34</v>
      </c>
      <c r="B6" s="91">
        <v>26996</v>
      </c>
      <c r="C6" s="92">
        <v>27681</v>
      </c>
      <c r="D6" s="93">
        <f>(C6/B6)-1</f>
        <v>2.5374129500666864E-2</v>
      </c>
      <c r="E6" s="92">
        <v>360</v>
      </c>
      <c r="F6" s="92">
        <v>330</v>
      </c>
      <c r="G6" s="94">
        <f>(F6/E6)-1</f>
        <v>-8.333333333333337E-2</v>
      </c>
      <c r="H6" s="100">
        <v>1957</v>
      </c>
      <c r="I6" s="92">
        <v>1996</v>
      </c>
      <c r="J6" s="101">
        <f>(I6/H6)-1</f>
        <v>1.9928461931527863E-2</v>
      </c>
      <c r="K6" s="92">
        <v>31623</v>
      </c>
      <c r="L6" s="92">
        <v>32483</v>
      </c>
      <c r="M6" s="94">
        <f>(L6/K6)-1</f>
        <v>2.7195395756253404E-2</v>
      </c>
      <c r="N6" s="1"/>
      <c r="O6" s="1"/>
      <c r="P6" s="1"/>
      <c r="Q6" s="1"/>
      <c r="R6" s="1"/>
      <c r="S6" s="1"/>
      <c r="T6" s="1"/>
      <c r="U6" s="1"/>
      <c r="V6" s="1"/>
      <c r="W6" s="1"/>
      <c r="X6" s="1"/>
      <c r="Y6" s="1"/>
      <c r="Z6" s="1"/>
      <c r="AA6" s="1"/>
    </row>
    <row r="7" spans="1:27" ht="18.95" customHeight="1" x14ac:dyDescent="0.2">
      <c r="A7" s="24" t="s">
        <v>36</v>
      </c>
      <c r="B7" s="91">
        <v>524</v>
      </c>
      <c r="C7" s="92">
        <v>499</v>
      </c>
      <c r="D7" s="93">
        <f t="shared" ref="D7:D8" si="0">(C7/B7)-1</f>
        <v>-4.7709923664122189E-2</v>
      </c>
      <c r="E7" s="92">
        <v>5</v>
      </c>
      <c r="F7" s="92">
        <v>4</v>
      </c>
      <c r="G7" s="94">
        <f>(F7/E7)-1</f>
        <v>-0.19999999999999996</v>
      </c>
      <c r="H7" s="100">
        <v>77</v>
      </c>
      <c r="I7" s="92">
        <v>98</v>
      </c>
      <c r="J7" s="101">
        <f t="shared" ref="J7:J8" si="1">(I7/H7)-1</f>
        <v>0.27272727272727271</v>
      </c>
      <c r="K7" s="92">
        <v>591</v>
      </c>
      <c r="L7" s="92">
        <v>577</v>
      </c>
      <c r="M7" s="94">
        <f t="shared" ref="M7:M8" si="2">(L7/K7)-1</f>
        <v>-2.3688663282571909E-2</v>
      </c>
      <c r="N7" s="1"/>
      <c r="O7" s="1"/>
      <c r="P7" s="1"/>
      <c r="Q7" s="1"/>
      <c r="R7" s="1"/>
      <c r="S7" s="1"/>
      <c r="T7" s="1"/>
      <c r="U7" s="1"/>
      <c r="V7" s="1"/>
      <c r="W7" s="1"/>
      <c r="X7" s="1"/>
      <c r="Y7" s="1"/>
      <c r="Z7" s="1"/>
      <c r="AA7" s="1"/>
    </row>
    <row r="8" spans="1:27" ht="18.95" customHeight="1" x14ac:dyDescent="0.2">
      <c r="A8" s="24" t="s">
        <v>37</v>
      </c>
      <c r="B8" s="91">
        <v>736</v>
      </c>
      <c r="C8" s="92">
        <v>795</v>
      </c>
      <c r="D8" s="93">
        <f t="shared" si="0"/>
        <v>8.0163043478260976E-2</v>
      </c>
      <c r="E8" s="92">
        <v>7</v>
      </c>
      <c r="F8" s="92">
        <v>3</v>
      </c>
      <c r="G8" s="94">
        <f t="shared" ref="G8" si="3">(F8/E8)-1</f>
        <v>-0.5714285714285714</v>
      </c>
      <c r="H8" s="100">
        <v>55</v>
      </c>
      <c r="I8" s="92">
        <v>67</v>
      </c>
      <c r="J8" s="101">
        <f t="shared" si="1"/>
        <v>0.21818181818181825</v>
      </c>
      <c r="K8" s="92">
        <v>832</v>
      </c>
      <c r="L8" s="92">
        <v>916</v>
      </c>
      <c r="M8" s="94">
        <f t="shared" si="2"/>
        <v>0.10096153846153855</v>
      </c>
      <c r="N8" s="1"/>
      <c r="O8" s="1"/>
      <c r="P8" s="1"/>
      <c r="Q8" s="1"/>
      <c r="R8" s="1"/>
      <c r="S8" s="1"/>
      <c r="T8" s="1"/>
      <c r="U8" s="1"/>
      <c r="V8" s="1"/>
      <c r="W8" s="1"/>
      <c r="X8" s="1"/>
      <c r="Y8" s="1"/>
      <c r="Z8" s="1"/>
      <c r="AA8" s="1"/>
    </row>
    <row r="9" spans="1:27" ht="18.95" customHeight="1" thickBot="1" x14ac:dyDescent="0.25">
      <c r="A9" s="62" t="s">
        <v>35</v>
      </c>
      <c r="B9" s="96">
        <f>SUM(B6:B8)</f>
        <v>28256</v>
      </c>
      <c r="C9" s="97">
        <f>SUM(C6:C8)</f>
        <v>28975</v>
      </c>
      <c r="D9" s="98">
        <f>(C9/B9)-1</f>
        <v>2.5445922989807412E-2</v>
      </c>
      <c r="E9" s="96">
        <f>SUM(E6:E8)</f>
        <v>372</v>
      </c>
      <c r="F9" s="97">
        <f>SUM(F6:F8)</f>
        <v>337</v>
      </c>
      <c r="G9" s="98">
        <f>(F9/E9)-1</f>
        <v>-9.4086021505376372E-2</v>
      </c>
      <c r="H9" s="97">
        <f>SUM(H6:H8)</f>
        <v>2089</v>
      </c>
      <c r="I9" s="97">
        <f>SUM(I6:I8)</f>
        <v>2161</v>
      </c>
      <c r="J9" s="99">
        <f>(I9/H9)-1</f>
        <v>3.4466251795117309E-2</v>
      </c>
      <c r="K9" s="96">
        <f>SUM(K6:K8)</f>
        <v>33046</v>
      </c>
      <c r="L9" s="97">
        <f>SUM(L6:L8)</f>
        <v>33976</v>
      </c>
      <c r="M9" s="99">
        <f>(L9/K9)-1</f>
        <v>2.814258911819878E-2</v>
      </c>
      <c r="N9" s="1"/>
      <c r="O9" s="1"/>
      <c r="P9" s="1"/>
      <c r="Q9" s="1"/>
      <c r="R9" s="1"/>
      <c r="S9" s="1"/>
      <c r="T9" s="1"/>
      <c r="U9" s="1"/>
      <c r="V9" s="1"/>
      <c r="W9" s="1"/>
      <c r="X9" s="1"/>
      <c r="Y9" s="1"/>
      <c r="Z9" s="1"/>
      <c r="AA9" s="1"/>
    </row>
    <row r="10" spans="1:27" ht="18.9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8.9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5">
    <mergeCell ref="A4:A5"/>
    <mergeCell ref="B4:D4"/>
    <mergeCell ref="E4:G4"/>
    <mergeCell ref="H4:J4"/>
    <mergeCell ref="K4:M4"/>
  </mergeCells>
  <printOptions horizontalCentered="1"/>
  <pageMargins left="0.70866141732283472" right="0.70866141732283472" top="0.74803149606299213" bottom="0.74803149606299213" header="0.31496062992125984" footer="0.31496062992125984"/>
  <pageSetup paperSize="9" scale="71" orientation="portrait" verticalDpi="0" r:id="rId1"/>
  <ignoredErrors>
    <ignoredError sqref="B9:C9 E9:F9 H9:I9 K9:L9" formulaRange="1"/>
    <ignoredError sqref="D9 G9 J9"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36CB-03ED-4E7F-88B1-81C29D645709}">
  <sheetPr>
    <tabColor theme="0" tint="-4.9989318521683403E-2"/>
    <pageSetUpPr fitToPage="1"/>
  </sheetPr>
  <dimension ref="A1:AA40"/>
  <sheetViews>
    <sheetView showGridLines="0" zoomScaleNormal="100" workbookViewId="0"/>
  </sheetViews>
  <sheetFormatPr defaultColWidth="9.140625" defaultRowHeight="12" x14ac:dyDescent="0.2"/>
  <cols>
    <col min="1" max="1" width="21.7109375" style="3" customWidth="1"/>
    <col min="2" max="9" width="9.28515625" style="3" customWidth="1"/>
    <col min="10" max="10" width="3" style="3" customWidth="1"/>
    <col min="11" max="16384" width="9.140625" style="3"/>
  </cols>
  <sheetData>
    <row r="1" spans="1:27" ht="4.5" customHeight="1" x14ac:dyDescent="0.2"/>
    <row r="2" spans="1:27" ht="18.95" customHeight="1" x14ac:dyDescent="0.25">
      <c r="A2" s="13" t="s">
        <v>138</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x14ac:dyDescent="0.2">
      <c r="A3" s="2"/>
      <c r="B3" s="2"/>
      <c r="C3" s="2"/>
      <c r="D3" s="2"/>
      <c r="E3" s="2"/>
      <c r="F3" s="1"/>
      <c r="G3" s="1"/>
      <c r="H3" s="1"/>
      <c r="I3" s="1"/>
      <c r="J3" s="1"/>
      <c r="K3" s="1"/>
      <c r="L3" s="1"/>
      <c r="M3" s="1"/>
      <c r="N3" s="1"/>
      <c r="O3" s="1"/>
      <c r="P3" s="1"/>
      <c r="Q3" s="1"/>
      <c r="R3" s="1"/>
      <c r="S3" s="1"/>
      <c r="T3" s="1"/>
      <c r="U3" s="1"/>
      <c r="V3" s="1"/>
      <c r="W3" s="1"/>
      <c r="X3" s="1"/>
      <c r="Y3" s="1"/>
      <c r="Z3" s="1"/>
      <c r="AA3" s="1"/>
    </row>
    <row r="4" spans="1:27" ht="30" customHeight="1" x14ac:dyDescent="0.2">
      <c r="A4" s="56" t="s">
        <v>126</v>
      </c>
      <c r="B4" s="57" t="s">
        <v>6</v>
      </c>
      <c r="C4" s="26" t="s">
        <v>40</v>
      </c>
      <c r="D4" s="58" t="s">
        <v>8</v>
      </c>
      <c r="E4" s="57" t="s">
        <v>41</v>
      </c>
      <c r="F4" s="26" t="s">
        <v>31</v>
      </c>
      <c r="G4" s="26" t="s">
        <v>18</v>
      </c>
      <c r="H4" s="58" t="s">
        <v>20</v>
      </c>
      <c r="I4" s="26" t="s">
        <v>24</v>
      </c>
      <c r="J4" s="1"/>
      <c r="K4" s="1"/>
      <c r="L4" s="1"/>
      <c r="M4" s="1"/>
      <c r="N4" s="1"/>
      <c r="O4" s="1"/>
      <c r="P4" s="1"/>
      <c r="Q4" s="1"/>
      <c r="R4" s="1"/>
      <c r="S4" s="1"/>
      <c r="T4" s="1"/>
      <c r="U4" s="1"/>
      <c r="V4" s="1"/>
      <c r="W4" s="1"/>
      <c r="X4" s="1"/>
      <c r="Y4" s="1"/>
      <c r="Z4" s="1"/>
      <c r="AA4" s="1"/>
    </row>
    <row r="5" spans="1:27" ht="18.95" customHeight="1" x14ac:dyDescent="0.2">
      <c r="A5" s="56">
        <v>2016</v>
      </c>
      <c r="B5" s="102">
        <v>23918</v>
      </c>
      <c r="C5" s="103">
        <v>1661</v>
      </c>
      <c r="D5" s="104">
        <v>306</v>
      </c>
      <c r="E5" s="105">
        <f t="shared" ref="E5" si="0">F5+G5+H5</f>
        <v>30912</v>
      </c>
      <c r="F5" s="103">
        <v>322</v>
      </c>
      <c r="G5" s="103">
        <v>1583</v>
      </c>
      <c r="H5" s="104">
        <v>29007</v>
      </c>
      <c r="I5" s="106">
        <f t="shared" ref="I5" si="1">F5/B5*100</f>
        <v>1.3462664102349695</v>
      </c>
      <c r="J5" s="1"/>
      <c r="K5" s="1"/>
      <c r="L5" s="1"/>
      <c r="M5" s="1"/>
      <c r="N5" s="1"/>
      <c r="O5" s="1"/>
      <c r="P5" s="1"/>
      <c r="Q5" s="1"/>
      <c r="R5" s="1"/>
      <c r="S5" s="1"/>
      <c r="T5" s="1"/>
      <c r="U5" s="1"/>
      <c r="V5" s="1"/>
      <c r="W5" s="1"/>
      <c r="X5" s="1"/>
      <c r="Y5" s="1"/>
      <c r="Z5" s="1"/>
      <c r="AA5" s="1"/>
    </row>
    <row r="6" spans="1:27" ht="18.95" customHeight="1" x14ac:dyDescent="0.2">
      <c r="A6" s="59">
        <v>2019</v>
      </c>
      <c r="B6" s="107">
        <v>26306</v>
      </c>
      <c r="C6" s="108">
        <v>1831</v>
      </c>
      <c r="D6" s="109">
        <v>327</v>
      </c>
      <c r="E6" s="105">
        <f t="shared" ref="E6" si="2">F6+G6+H6</f>
        <v>34089</v>
      </c>
      <c r="F6" s="108">
        <v>360</v>
      </c>
      <c r="G6" s="108">
        <v>1764</v>
      </c>
      <c r="H6" s="109">
        <v>31965</v>
      </c>
      <c r="I6" s="106">
        <f t="shared" ref="I6:I12" si="3">F6/B6*100</f>
        <v>1.3685090853797612</v>
      </c>
      <c r="J6" s="1"/>
      <c r="K6" s="1"/>
      <c r="L6" s="1"/>
      <c r="M6" s="1"/>
      <c r="N6" s="1"/>
      <c r="O6" s="1"/>
      <c r="P6" s="1"/>
      <c r="Q6" s="1"/>
      <c r="R6" s="1"/>
      <c r="S6" s="1"/>
      <c r="T6" s="1"/>
      <c r="U6" s="1"/>
      <c r="V6" s="1"/>
      <c r="W6" s="1"/>
      <c r="X6" s="1"/>
      <c r="Y6" s="1"/>
      <c r="Z6" s="1"/>
      <c r="AA6" s="1"/>
    </row>
    <row r="7" spans="1:27" ht="18.95" customHeight="1" x14ac:dyDescent="0.2">
      <c r="A7" s="59">
        <v>2020</v>
      </c>
      <c r="B7" s="107">
        <v>19598</v>
      </c>
      <c r="C7" s="108">
        <v>1481</v>
      </c>
      <c r="D7" s="109">
        <v>286</v>
      </c>
      <c r="E7" s="105">
        <f t="shared" ref="E7:E12" si="4">F7+G7+H7</f>
        <v>24502</v>
      </c>
      <c r="F7" s="108">
        <v>302</v>
      </c>
      <c r="G7" s="108">
        <v>1371</v>
      </c>
      <c r="H7" s="109">
        <v>22829</v>
      </c>
      <c r="I7" s="106">
        <f t="shared" si="3"/>
        <v>1.5409735687315032</v>
      </c>
      <c r="J7" s="1"/>
      <c r="K7" s="1"/>
      <c r="L7" s="1"/>
      <c r="M7" s="1"/>
      <c r="N7" s="1"/>
      <c r="O7" s="1"/>
      <c r="P7" s="1"/>
      <c r="Q7" s="1"/>
      <c r="R7" s="1"/>
      <c r="S7" s="1"/>
      <c r="T7" s="1"/>
      <c r="U7" s="1"/>
      <c r="V7" s="1"/>
      <c r="W7" s="1"/>
      <c r="X7" s="1"/>
      <c r="Y7" s="1"/>
      <c r="Z7" s="1"/>
      <c r="AA7" s="1"/>
    </row>
    <row r="8" spans="1:27" ht="18.95" customHeight="1" x14ac:dyDescent="0.2">
      <c r="A8" s="59">
        <v>2021</v>
      </c>
      <c r="B8" s="107">
        <v>20670</v>
      </c>
      <c r="C8" s="108">
        <v>1595</v>
      </c>
      <c r="D8" s="109">
        <v>268</v>
      </c>
      <c r="E8" s="105">
        <f t="shared" si="4"/>
        <v>25956</v>
      </c>
      <c r="F8" s="108">
        <v>286</v>
      </c>
      <c r="G8" s="108">
        <v>1496</v>
      </c>
      <c r="H8" s="109">
        <v>24174</v>
      </c>
      <c r="I8" s="106">
        <f>F8/B8*100</f>
        <v>1.3836477987421385</v>
      </c>
      <c r="J8" s="1"/>
      <c r="K8" s="1"/>
      <c r="L8" s="1"/>
      <c r="M8" s="1"/>
      <c r="N8" s="1"/>
      <c r="O8" s="1"/>
      <c r="P8" s="1"/>
      <c r="Q8" s="1"/>
      <c r="R8" s="1"/>
      <c r="S8" s="1"/>
      <c r="T8" s="1"/>
      <c r="U8" s="1"/>
      <c r="V8" s="1"/>
      <c r="W8" s="1"/>
      <c r="X8" s="1"/>
      <c r="Y8" s="1"/>
      <c r="Z8" s="1"/>
      <c r="AA8" s="1"/>
    </row>
    <row r="9" spans="1:27" ht="18.95" customHeight="1" x14ac:dyDescent="0.2">
      <c r="A9" s="59">
        <v>2022</v>
      </c>
      <c r="B9" s="107">
        <v>24549</v>
      </c>
      <c r="C9" s="108">
        <v>1840</v>
      </c>
      <c r="D9" s="109">
        <v>321</v>
      </c>
      <c r="E9" s="105">
        <f t="shared" si="4"/>
        <v>30958</v>
      </c>
      <c r="F9" s="108">
        <v>352</v>
      </c>
      <c r="G9" s="108">
        <v>1770</v>
      </c>
      <c r="H9" s="109">
        <v>28836</v>
      </c>
      <c r="I9" s="106">
        <f t="shared" si="3"/>
        <v>1.4338669599576357</v>
      </c>
      <c r="J9" s="1"/>
      <c r="K9" s="1"/>
      <c r="L9" s="1"/>
      <c r="M9" s="1"/>
      <c r="N9" s="1"/>
      <c r="O9" s="1"/>
      <c r="P9" s="1"/>
      <c r="Q9" s="1"/>
      <c r="R9" s="1"/>
      <c r="S9" s="1"/>
      <c r="T9" s="1"/>
      <c r="U9" s="1"/>
      <c r="V9" s="1"/>
      <c r="W9" s="1"/>
      <c r="X9" s="1"/>
      <c r="Y9" s="1"/>
      <c r="Z9" s="1"/>
      <c r="AA9" s="1"/>
    </row>
    <row r="10" spans="1:27" ht="18.95" customHeight="1" x14ac:dyDescent="0.2">
      <c r="A10" s="59">
        <v>2023</v>
      </c>
      <c r="B10" s="107">
        <v>26393</v>
      </c>
      <c r="C10" s="108">
        <v>1988</v>
      </c>
      <c r="D10" s="109">
        <v>340</v>
      </c>
      <c r="E10" s="105">
        <f t="shared" si="4"/>
        <v>33266</v>
      </c>
      <c r="F10" s="108">
        <v>372</v>
      </c>
      <c r="G10" s="108">
        <v>1885</v>
      </c>
      <c r="H10" s="109">
        <v>31009</v>
      </c>
      <c r="I10" s="106">
        <f t="shared" si="3"/>
        <v>1.409464630773311</v>
      </c>
      <c r="J10" s="1"/>
      <c r="K10" s="1"/>
      <c r="L10" s="1"/>
      <c r="M10" s="1"/>
      <c r="N10" s="1"/>
      <c r="O10" s="1"/>
      <c r="P10" s="1"/>
      <c r="Q10" s="1"/>
      <c r="R10" s="1"/>
      <c r="S10" s="1"/>
      <c r="T10" s="1"/>
      <c r="U10" s="1"/>
      <c r="V10" s="1"/>
      <c r="W10" s="1"/>
      <c r="X10" s="1"/>
      <c r="Y10" s="1"/>
      <c r="Z10" s="1"/>
      <c r="AA10" s="1"/>
    </row>
    <row r="11" spans="1:27" ht="18.95" customHeight="1" x14ac:dyDescent="0.2">
      <c r="A11" s="59">
        <v>2024</v>
      </c>
      <c r="B11" s="107">
        <v>26996</v>
      </c>
      <c r="C11" s="108">
        <v>2050</v>
      </c>
      <c r="D11" s="109">
        <v>340</v>
      </c>
      <c r="E11" s="105">
        <f t="shared" si="4"/>
        <v>33940</v>
      </c>
      <c r="F11" s="108">
        <v>360</v>
      </c>
      <c r="G11" s="108">
        <v>1957</v>
      </c>
      <c r="H11" s="109">
        <v>31623</v>
      </c>
      <c r="I11" s="106">
        <f t="shared" si="3"/>
        <v>1.3335308934656986</v>
      </c>
      <c r="J11" s="1"/>
      <c r="K11" s="1"/>
      <c r="L11" s="1"/>
      <c r="M11" s="1"/>
      <c r="N11" s="1"/>
      <c r="O11" s="1"/>
      <c r="P11" s="1"/>
      <c r="Q11" s="1"/>
      <c r="R11" s="1"/>
      <c r="S11" s="1"/>
      <c r="T11" s="1"/>
      <c r="U11" s="1"/>
      <c r="V11" s="1"/>
      <c r="W11" s="1"/>
      <c r="X11" s="1"/>
      <c r="Y11" s="1"/>
      <c r="Z11" s="1"/>
      <c r="AA11" s="1"/>
    </row>
    <row r="12" spans="1:27" ht="18.95" customHeight="1" x14ac:dyDescent="0.2">
      <c r="A12" s="59">
        <v>2025</v>
      </c>
      <c r="B12" s="107">
        <v>27681</v>
      </c>
      <c r="C12" s="108">
        <v>2045</v>
      </c>
      <c r="D12" s="109">
        <v>304</v>
      </c>
      <c r="E12" s="105">
        <f t="shared" si="4"/>
        <v>34809</v>
      </c>
      <c r="F12" s="108">
        <v>330</v>
      </c>
      <c r="G12" s="108">
        <v>1996</v>
      </c>
      <c r="H12" s="109">
        <v>32483</v>
      </c>
      <c r="I12" s="106">
        <f t="shared" si="3"/>
        <v>1.192153462663921</v>
      </c>
      <c r="J12" s="1"/>
      <c r="K12" s="1"/>
      <c r="L12" s="1"/>
      <c r="M12" s="1"/>
      <c r="N12" s="1"/>
      <c r="O12" s="1"/>
      <c r="P12" s="1"/>
      <c r="Q12" s="1"/>
      <c r="R12" s="1"/>
      <c r="S12" s="1"/>
      <c r="T12" s="1"/>
      <c r="U12" s="1"/>
      <c r="V12" s="1"/>
      <c r="W12" s="1"/>
      <c r="X12" s="1"/>
      <c r="Y12" s="1"/>
      <c r="Z12" s="1"/>
      <c r="AA12" s="1"/>
    </row>
    <row r="13" spans="1:27" ht="18.95" customHeight="1" x14ac:dyDescent="0.2">
      <c r="A13" s="60" t="s">
        <v>184</v>
      </c>
      <c r="B13" s="110">
        <f>B12/B5-1</f>
        <v>0.15732920812776996</v>
      </c>
      <c r="C13" s="110">
        <f t="shared" ref="C13:I13" si="5">C12/C5-1</f>
        <v>0.23118603251053593</v>
      </c>
      <c r="D13" s="110">
        <f t="shared" si="5"/>
        <v>-6.5359477124182774E-3</v>
      </c>
      <c r="E13" s="110">
        <f t="shared" si="5"/>
        <v>0.126067546583851</v>
      </c>
      <c r="F13" s="110">
        <f t="shared" si="5"/>
        <v>2.4844720496894457E-2</v>
      </c>
      <c r="G13" s="110">
        <f t="shared" si="5"/>
        <v>0.26089703095388495</v>
      </c>
      <c r="H13" s="110">
        <f t="shared" si="5"/>
        <v>0.11983314372392861</v>
      </c>
      <c r="I13" s="110">
        <f t="shared" si="5"/>
        <v>-0.11447433167715337</v>
      </c>
      <c r="J13" s="1"/>
      <c r="K13" s="1"/>
      <c r="L13" s="1"/>
      <c r="M13" s="1"/>
      <c r="N13" s="1"/>
      <c r="O13" s="1"/>
      <c r="P13" s="1"/>
      <c r="Q13" s="1"/>
      <c r="R13" s="1"/>
      <c r="S13" s="1"/>
      <c r="T13" s="1"/>
      <c r="U13" s="1"/>
      <c r="V13" s="1"/>
      <c r="W13" s="1"/>
      <c r="X13" s="1"/>
      <c r="Y13" s="1"/>
      <c r="Z13" s="1"/>
      <c r="AA13" s="1"/>
    </row>
    <row r="14" spans="1:27" ht="18.95" customHeight="1" x14ac:dyDescent="0.2">
      <c r="A14" s="60" t="s">
        <v>175</v>
      </c>
      <c r="B14" s="110">
        <f>B12/B6-1</f>
        <v>5.2269444233254747E-2</v>
      </c>
      <c r="C14" s="110">
        <f t="shared" ref="C14:I14" si="6">C12/C6-1</f>
        <v>0.11687602403058439</v>
      </c>
      <c r="D14" s="110">
        <f t="shared" si="6"/>
        <v>-7.0336391437308854E-2</v>
      </c>
      <c r="E14" s="110">
        <f t="shared" si="6"/>
        <v>2.1121182786236092E-2</v>
      </c>
      <c r="F14" s="110">
        <f t="shared" si="6"/>
        <v>-8.333333333333337E-2</v>
      </c>
      <c r="G14" s="110">
        <f t="shared" si="6"/>
        <v>0.13151927437641731</v>
      </c>
      <c r="H14" s="110">
        <f t="shared" si="6"/>
        <v>1.6205224464257872E-2</v>
      </c>
      <c r="I14" s="110">
        <f t="shared" si="6"/>
        <v>-0.12886697253230261</v>
      </c>
      <c r="J14" s="1"/>
      <c r="K14" s="1"/>
      <c r="L14" s="1"/>
      <c r="M14" s="1"/>
      <c r="N14" s="1"/>
      <c r="O14" s="1"/>
      <c r="P14" s="1"/>
      <c r="Q14" s="1"/>
      <c r="R14" s="1"/>
      <c r="S14" s="1"/>
      <c r="T14" s="1"/>
      <c r="U14" s="1"/>
      <c r="V14" s="1"/>
      <c r="W14" s="1"/>
      <c r="X14" s="1"/>
      <c r="Y14" s="1"/>
      <c r="Z14" s="1"/>
      <c r="AA14" s="1"/>
    </row>
    <row r="15" spans="1:27" ht="18.95" customHeight="1" thickBot="1" x14ac:dyDescent="0.25">
      <c r="A15" s="61" t="s">
        <v>177</v>
      </c>
      <c r="B15" s="111">
        <f t="shared" ref="B15:I15" si="7">B12/B11-1</f>
        <v>2.5374129500666864E-2</v>
      </c>
      <c r="C15" s="111">
        <f t="shared" si="7"/>
        <v>-2.4390243902439046E-3</v>
      </c>
      <c r="D15" s="111">
        <f t="shared" si="7"/>
        <v>-0.10588235294117643</v>
      </c>
      <c r="E15" s="111">
        <f t="shared" si="7"/>
        <v>2.5604007071302393E-2</v>
      </c>
      <c r="F15" s="111">
        <f t="shared" si="7"/>
        <v>-8.333333333333337E-2</v>
      </c>
      <c r="G15" s="111">
        <f t="shared" si="7"/>
        <v>1.9928461931527863E-2</v>
      </c>
      <c r="H15" s="111">
        <f t="shared" si="7"/>
        <v>2.7195395756253404E-2</v>
      </c>
      <c r="I15" s="111">
        <f t="shared" si="7"/>
        <v>-0.10601736449791088</v>
      </c>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40" spans="1:27" x14ac:dyDescent="0.2">
      <c r="I40" s="1"/>
    </row>
  </sheetData>
  <phoneticPr fontId="6" type="noConversion"/>
  <printOptions horizontalCentered="1"/>
  <pageMargins left="0.23622047244094491" right="0.23622047244094491" top="0.74803149606299213" bottom="0.74803149606299213" header="0.31496062992125984" footer="0.31496062992125984"/>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E7C1-47D7-4AFF-B21A-1A79C4EA624B}">
  <sheetPr>
    <pageSetUpPr fitToPage="1"/>
  </sheetPr>
  <dimension ref="A1:AA47"/>
  <sheetViews>
    <sheetView showGridLines="0" zoomScaleNormal="100" workbookViewId="0"/>
  </sheetViews>
  <sheetFormatPr defaultColWidth="9.140625" defaultRowHeight="12" x14ac:dyDescent="0.2"/>
  <cols>
    <col min="1" max="1" width="18.7109375" style="3" customWidth="1"/>
    <col min="2" max="13" width="7.85546875" style="3" customWidth="1"/>
    <col min="14" max="14" width="2.85546875" style="3" customWidth="1"/>
    <col min="15" max="16384" width="9.140625" style="3"/>
  </cols>
  <sheetData>
    <row r="1" spans="1:27" ht="6.75" customHeight="1" x14ac:dyDescent="0.2"/>
    <row r="2" spans="1:27" ht="18.95" customHeight="1" x14ac:dyDescent="0.25">
      <c r="A2" s="13" t="s">
        <v>185</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64" t="s">
        <v>42</v>
      </c>
      <c r="B4" s="266" t="s">
        <v>6</v>
      </c>
      <c r="C4" s="267"/>
      <c r="D4" s="268"/>
      <c r="E4" s="267" t="s">
        <v>31</v>
      </c>
      <c r="F4" s="267"/>
      <c r="G4" s="267"/>
      <c r="H4" s="269" t="s">
        <v>18</v>
      </c>
      <c r="I4" s="267"/>
      <c r="J4" s="270"/>
      <c r="K4" s="269" t="s">
        <v>20</v>
      </c>
      <c r="L4" s="267"/>
      <c r="M4" s="270"/>
      <c r="N4" s="1"/>
      <c r="O4" s="1"/>
      <c r="P4" s="1"/>
      <c r="Q4" s="1"/>
      <c r="R4" s="1"/>
      <c r="S4" s="1"/>
      <c r="T4" s="1"/>
      <c r="U4" s="1"/>
      <c r="V4" s="1"/>
      <c r="W4" s="1"/>
      <c r="X4" s="1"/>
      <c r="Y4" s="1"/>
      <c r="Z4" s="1"/>
      <c r="AA4" s="1"/>
    </row>
    <row r="5" spans="1:27" ht="30" customHeight="1" x14ac:dyDescent="0.2">
      <c r="A5" s="265"/>
      <c r="B5" s="88">
        <v>2019</v>
      </c>
      <c r="C5" s="88">
        <v>2024</v>
      </c>
      <c r="D5" s="88">
        <v>2025</v>
      </c>
      <c r="E5" s="88">
        <v>2019</v>
      </c>
      <c r="F5" s="88">
        <v>2024</v>
      </c>
      <c r="G5" s="88">
        <v>2025</v>
      </c>
      <c r="H5" s="88">
        <v>2019</v>
      </c>
      <c r="I5" s="88">
        <v>2024</v>
      </c>
      <c r="J5" s="88">
        <v>2025</v>
      </c>
      <c r="K5" s="88">
        <v>2019</v>
      </c>
      <c r="L5" s="88">
        <v>2024</v>
      </c>
      <c r="M5" s="88">
        <v>2025</v>
      </c>
      <c r="N5" s="1"/>
      <c r="O5" s="1"/>
      <c r="P5" s="1"/>
      <c r="Q5" s="1"/>
      <c r="R5" s="1"/>
      <c r="S5" s="1"/>
      <c r="T5" s="1"/>
      <c r="U5" s="1"/>
      <c r="V5" s="1"/>
      <c r="W5" s="1"/>
      <c r="X5" s="1"/>
      <c r="Y5" s="1"/>
      <c r="Z5" s="1"/>
      <c r="AA5" s="1"/>
    </row>
    <row r="6" spans="1:27" ht="17.100000000000001" customHeight="1" x14ac:dyDescent="0.2">
      <c r="A6" s="53" t="s">
        <v>50</v>
      </c>
      <c r="B6" s="103">
        <v>2953</v>
      </c>
      <c r="C6" s="103">
        <v>2798</v>
      </c>
      <c r="D6" s="104">
        <v>2844</v>
      </c>
      <c r="E6" s="102">
        <v>48</v>
      </c>
      <c r="F6" s="103">
        <v>35</v>
      </c>
      <c r="G6" s="104">
        <v>36</v>
      </c>
      <c r="H6" s="102">
        <v>171</v>
      </c>
      <c r="I6" s="103">
        <v>196</v>
      </c>
      <c r="J6" s="104">
        <v>161</v>
      </c>
      <c r="K6" s="102">
        <v>3519</v>
      </c>
      <c r="L6" s="103">
        <v>3246</v>
      </c>
      <c r="M6" s="112">
        <v>3337</v>
      </c>
      <c r="N6" s="1"/>
      <c r="O6" s="1"/>
      <c r="P6" s="1"/>
      <c r="Q6" s="1"/>
      <c r="R6" s="1"/>
      <c r="S6" s="1"/>
      <c r="T6" s="1"/>
      <c r="U6" s="1"/>
      <c r="V6" s="1"/>
      <c r="W6" s="1"/>
      <c r="X6" s="1"/>
      <c r="Y6" s="1"/>
      <c r="Z6" s="1"/>
      <c r="AA6" s="1"/>
    </row>
    <row r="7" spans="1:27" ht="17.100000000000001" customHeight="1" x14ac:dyDescent="0.2">
      <c r="A7" s="53" t="s">
        <v>142</v>
      </c>
      <c r="B7" s="103">
        <v>2470</v>
      </c>
      <c r="C7" s="103">
        <v>2720</v>
      </c>
      <c r="D7" s="104">
        <v>2523</v>
      </c>
      <c r="E7" s="102">
        <v>38</v>
      </c>
      <c r="F7" s="103">
        <v>36</v>
      </c>
      <c r="G7" s="104">
        <v>29</v>
      </c>
      <c r="H7" s="102">
        <v>149</v>
      </c>
      <c r="I7" s="103">
        <v>181</v>
      </c>
      <c r="J7" s="104">
        <v>183</v>
      </c>
      <c r="K7" s="102">
        <v>2938</v>
      </c>
      <c r="L7" s="103">
        <v>3199</v>
      </c>
      <c r="M7" s="112">
        <v>2931</v>
      </c>
      <c r="N7" s="1"/>
      <c r="O7" s="1"/>
      <c r="P7" s="1"/>
      <c r="Q7" s="1"/>
      <c r="R7" s="1"/>
      <c r="S7" s="1"/>
      <c r="T7" s="1"/>
      <c r="U7" s="1"/>
      <c r="V7" s="1"/>
      <c r="W7" s="1"/>
      <c r="X7" s="1"/>
      <c r="Y7" s="1"/>
      <c r="Z7" s="1"/>
      <c r="AA7" s="1"/>
    </row>
    <row r="8" spans="1:27" ht="17.100000000000001" customHeight="1" x14ac:dyDescent="0.2">
      <c r="A8" s="53" t="s">
        <v>137</v>
      </c>
      <c r="B8" s="103">
        <v>2998</v>
      </c>
      <c r="C8" s="103">
        <v>2768</v>
      </c>
      <c r="D8" s="104">
        <v>2909</v>
      </c>
      <c r="E8" s="102">
        <v>34</v>
      </c>
      <c r="F8" s="103">
        <v>34</v>
      </c>
      <c r="G8" s="104">
        <v>25</v>
      </c>
      <c r="H8" s="102">
        <v>213</v>
      </c>
      <c r="I8" s="103">
        <v>179</v>
      </c>
      <c r="J8" s="104">
        <v>186</v>
      </c>
      <c r="K8" s="102">
        <v>3604</v>
      </c>
      <c r="L8" s="103">
        <v>3219</v>
      </c>
      <c r="M8" s="112">
        <v>3381</v>
      </c>
      <c r="N8" s="1"/>
      <c r="O8" s="1"/>
      <c r="P8" s="1"/>
      <c r="Q8" s="1"/>
      <c r="R8" s="1"/>
      <c r="S8" s="1"/>
      <c r="T8" s="1"/>
      <c r="U8" s="1"/>
      <c r="V8" s="1"/>
      <c r="W8" s="1"/>
      <c r="X8" s="1"/>
      <c r="Y8" s="1"/>
      <c r="Z8" s="1"/>
      <c r="AA8" s="1"/>
    </row>
    <row r="9" spans="1:27" ht="17.100000000000001" customHeight="1" x14ac:dyDescent="0.2">
      <c r="A9" s="53" t="s">
        <v>206</v>
      </c>
      <c r="B9" s="103">
        <v>2791</v>
      </c>
      <c r="C9" s="103">
        <v>3057</v>
      </c>
      <c r="D9" s="104">
        <v>3013</v>
      </c>
      <c r="E9" s="102">
        <v>60</v>
      </c>
      <c r="F9" s="103">
        <v>32</v>
      </c>
      <c r="G9" s="104">
        <v>27</v>
      </c>
      <c r="H9" s="102">
        <v>186</v>
      </c>
      <c r="I9" s="103">
        <v>230</v>
      </c>
      <c r="J9" s="104">
        <v>217</v>
      </c>
      <c r="K9" s="102">
        <v>3429</v>
      </c>
      <c r="L9" s="103">
        <v>3505</v>
      </c>
      <c r="M9" s="112">
        <v>3652</v>
      </c>
      <c r="N9" s="1"/>
      <c r="O9" s="1"/>
      <c r="P9" s="1"/>
      <c r="Q9" s="1"/>
      <c r="R9" s="1"/>
      <c r="S9" s="1"/>
      <c r="T9" s="1"/>
      <c r="U9" s="1"/>
      <c r="V9" s="1"/>
      <c r="W9" s="1"/>
      <c r="X9" s="1"/>
      <c r="Y9" s="1"/>
      <c r="Z9" s="1"/>
      <c r="AA9" s="1"/>
    </row>
    <row r="10" spans="1:27" ht="17.100000000000001" customHeight="1" x14ac:dyDescent="0.2">
      <c r="A10" s="53" t="s">
        <v>207</v>
      </c>
      <c r="B10" s="103">
        <v>3219</v>
      </c>
      <c r="C10" s="103">
        <v>3337</v>
      </c>
      <c r="D10" s="104">
        <v>3381</v>
      </c>
      <c r="E10" s="102">
        <v>47</v>
      </c>
      <c r="F10" s="103">
        <v>45</v>
      </c>
      <c r="G10" s="104">
        <v>35</v>
      </c>
      <c r="H10" s="102">
        <v>218</v>
      </c>
      <c r="I10" s="103">
        <v>238</v>
      </c>
      <c r="J10" s="104">
        <v>247</v>
      </c>
      <c r="K10" s="102">
        <v>3851</v>
      </c>
      <c r="L10" s="103">
        <v>3864</v>
      </c>
      <c r="M10" s="112">
        <v>3906</v>
      </c>
      <c r="N10" s="1"/>
      <c r="O10" s="1"/>
      <c r="P10" s="1"/>
      <c r="Q10" s="1"/>
      <c r="R10" s="1"/>
      <c r="S10" s="1"/>
      <c r="T10" s="1"/>
      <c r="U10" s="1"/>
      <c r="V10" s="1"/>
      <c r="W10" s="1"/>
      <c r="X10" s="1"/>
      <c r="Y10" s="1"/>
      <c r="Z10" s="1"/>
      <c r="AA10" s="1"/>
    </row>
    <row r="11" spans="1:27" ht="17.100000000000001" customHeight="1" x14ac:dyDescent="0.2">
      <c r="A11" s="53" t="s">
        <v>208</v>
      </c>
      <c r="B11" s="103">
        <v>2978</v>
      </c>
      <c r="C11" s="103">
        <v>3235</v>
      </c>
      <c r="D11" s="104">
        <v>3386</v>
      </c>
      <c r="E11" s="102">
        <v>33</v>
      </c>
      <c r="F11" s="103">
        <v>39</v>
      </c>
      <c r="G11" s="104">
        <v>48</v>
      </c>
      <c r="H11" s="102">
        <v>224</v>
      </c>
      <c r="I11" s="103">
        <v>237</v>
      </c>
      <c r="J11" s="104">
        <v>281</v>
      </c>
      <c r="K11" s="102">
        <v>3615</v>
      </c>
      <c r="L11" s="103">
        <v>3784</v>
      </c>
      <c r="M11" s="112">
        <v>3951</v>
      </c>
      <c r="N11" s="1"/>
      <c r="O11" s="1"/>
      <c r="P11" s="1"/>
      <c r="Q11" s="1"/>
      <c r="R11" s="1"/>
      <c r="S11" s="1"/>
      <c r="T11" s="1"/>
      <c r="U11" s="1"/>
      <c r="V11" s="1"/>
      <c r="W11" s="1"/>
      <c r="X11" s="1"/>
      <c r="Y11" s="1"/>
      <c r="Z11" s="1"/>
      <c r="AA11" s="1"/>
    </row>
    <row r="12" spans="1:27" ht="17.100000000000001" customHeight="1" x14ac:dyDescent="0.2">
      <c r="A12" s="53" t="s">
        <v>222</v>
      </c>
      <c r="B12" s="103">
        <v>3397</v>
      </c>
      <c r="C12" s="103">
        <v>3587</v>
      </c>
      <c r="D12" s="104">
        <v>3881</v>
      </c>
      <c r="E12" s="102">
        <v>36</v>
      </c>
      <c r="F12" s="103">
        <v>52</v>
      </c>
      <c r="G12" s="104">
        <v>52</v>
      </c>
      <c r="H12" s="102">
        <v>233</v>
      </c>
      <c r="I12" s="103">
        <v>286</v>
      </c>
      <c r="J12" s="104">
        <v>306</v>
      </c>
      <c r="K12" s="102">
        <v>4148</v>
      </c>
      <c r="L12" s="103">
        <v>4180</v>
      </c>
      <c r="M12" s="112">
        <v>4548</v>
      </c>
      <c r="N12" s="1"/>
      <c r="O12" s="1"/>
      <c r="P12" s="1"/>
      <c r="Q12" s="1"/>
      <c r="R12" s="1"/>
      <c r="S12" s="1"/>
      <c r="T12" s="1"/>
      <c r="U12" s="1"/>
      <c r="V12" s="1"/>
      <c r="W12" s="1"/>
      <c r="X12" s="1"/>
      <c r="Y12" s="1"/>
      <c r="Z12" s="1"/>
      <c r="AA12" s="1"/>
    </row>
    <row r="13" spans="1:27" ht="17.100000000000001" customHeight="1" x14ac:dyDescent="0.2">
      <c r="A13" s="53" t="s">
        <v>223</v>
      </c>
      <c r="B13" s="103">
        <v>3448</v>
      </c>
      <c r="C13" s="103">
        <v>3388</v>
      </c>
      <c r="D13" s="104">
        <v>3537</v>
      </c>
      <c r="E13" s="102">
        <v>55</v>
      </c>
      <c r="F13" s="103">
        <v>50</v>
      </c>
      <c r="G13" s="104">
        <v>61</v>
      </c>
      <c r="H13" s="102">
        <v>311</v>
      </c>
      <c r="I13" s="103">
        <v>285</v>
      </c>
      <c r="J13" s="104">
        <v>307</v>
      </c>
      <c r="K13" s="102">
        <v>4309</v>
      </c>
      <c r="L13" s="103">
        <v>4073</v>
      </c>
      <c r="M13" s="112">
        <v>4221</v>
      </c>
      <c r="N13" s="1"/>
      <c r="O13" s="1"/>
      <c r="P13" s="1"/>
      <c r="Q13" s="1"/>
      <c r="R13" s="1"/>
      <c r="S13" s="1"/>
      <c r="T13" s="1"/>
      <c r="U13" s="1"/>
      <c r="V13" s="1"/>
      <c r="W13" s="1"/>
      <c r="X13" s="1"/>
      <c r="Y13" s="1"/>
      <c r="Z13" s="1"/>
      <c r="AA13" s="1"/>
    </row>
    <row r="14" spans="1:27" ht="17.100000000000001" customHeight="1" x14ac:dyDescent="0.2">
      <c r="A14" s="53" t="s">
        <v>224</v>
      </c>
      <c r="B14" s="103">
        <v>3216</v>
      </c>
      <c r="C14" s="103">
        <v>3366</v>
      </c>
      <c r="D14" s="104">
        <v>3501</v>
      </c>
      <c r="E14" s="102">
        <v>48</v>
      </c>
      <c r="F14" s="103">
        <v>49</v>
      </c>
      <c r="G14" s="104">
        <v>24</v>
      </c>
      <c r="H14" s="102">
        <v>241</v>
      </c>
      <c r="I14" s="103">
        <v>257</v>
      </c>
      <c r="J14" s="104">
        <v>273</v>
      </c>
      <c r="K14" s="102">
        <v>3889</v>
      </c>
      <c r="L14" s="103">
        <v>3976</v>
      </c>
      <c r="M14" s="112">
        <v>4049</v>
      </c>
      <c r="N14" s="1"/>
      <c r="O14" s="1"/>
      <c r="P14" s="1"/>
      <c r="Q14" s="1"/>
      <c r="R14" s="1"/>
      <c r="S14" s="1"/>
      <c r="T14" s="1"/>
      <c r="U14" s="1"/>
      <c r="V14" s="1"/>
      <c r="W14" s="1"/>
      <c r="X14" s="1"/>
      <c r="Y14" s="1"/>
      <c r="Z14" s="1"/>
      <c r="AA14" s="1"/>
    </row>
    <row r="15" spans="1:27" ht="17.100000000000001" customHeight="1" thickBot="1" x14ac:dyDescent="0.25">
      <c r="A15" s="54" t="s">
        <v>35</v>
      </c>
      <c r="B15" s="113">
        <f t="shared" ref="B15:M15" si="0">SUM(B6:B11)</f>
        <v>17409</v>
      </c>
      <c r="C15" s="114">
        <f t="shared" si="0"/>
        <v>17915</v>
      </c>
      <c r="D15" s="115">
        <f t="shared" si="0"/>
        <v>18056</v>
      </c>
      <c r="E15" s="113">
        <f t="shared" si="0"/>
        <v>260</v>
      </c>
      <c r="F15" s="114">
        <f t="shared" si="0"/>
        <v>221</v>
      </c>
      <c r="G15" s="115">
        <f t="shared" si="0"/>
        <v>200</v>
      </c>
      <c r="H15" s="113">
        <f t="shared" si="0"/>
        <v>1161</v>
      </c>
      <c r="I15" s="114">
        <f t="shared" si="0"/>
        <v>1261</v>
      </c>
      <c r="J15" s="115">
        <f t="shared" si="0"/>
        <v>1275</v>
      </c>
      <c r="K15" s="113">
        <f t="shared" si="0"/>
        <v>20956</v>
      </c>
      <c r="L15" s="114">
        <f t="shared" si="0"/>
        <v>20817</v>
      </c>
      <c r="M15" s="116">
        <f t="shared" si="0"/>
        <v>21158</v>
      </c>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5">
      <c r="A17" s="13" t="s">
        <v>186</v>
      </c>
      <c r="B17" s="2"/>
      <c r="C17" s="2"/>
      <c r="D17" s="2"/>
      <c r="E17" s="1"/>
      <c r="F17" s="1"/>
      <c r="G17" s="1"/>
      <c r="H17" s="1"/>
      <c r="I17" s="1"/>
      <c r="J17" s="1"/>
      <c r="K17" s="1"/>
      <c r="L17" s="1"/>
      <c r="M17" s="1"/>
      <c r="N17" s="1"/>
      <c r="O17" s="1"/>
      <c r="P17" s="1"/>
      <c r="Q17" s="1"/>
      <c r="R17" s="1"/>
      <c r="S17" s="1"/>
      <c r="T17" s="1"/>
      <c r="U17" s="1"/>
      <c r="V17" s="1"/>
      <c r="W17" s="1"/>
      <c r="X17" s="1"/>
      <c r="Y17" s="1"/>
      <c r="Z17" s="1"/>
      <c r="AA17" s="1"/>
    </row>
    <row r="18" spans="1:27" ht="18.95" customHeight="1" thickBot="1" x14ac:dyDescent="0.25">
      <c r="A18" s="2"/>
      <c r="B18" s="2"/>
      <c r="C18" s="2"/>
      <c r="D18" s="2"/>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271" t="s">
        <v>42</v>
      </c>
      <c r="B19" s="260" t="s">
        <v>6</v>
      </c>
      <c r="C19" s="260"/>
      <c r="D19" s="261"/>
      <c r="E19" s="260" t="s">
        <v>31</v>
      </c>
      <c r="F19" s="260"/>
      <c r="G19" s="260"/>
      <c r="H19" s="259" t="s">
        <v>18</v>
      </c>
      <c r="I19" s="260"/>
      <c r="J19" s="261"/>
      <c r="K19" s="260" t="s">
        <v>20</v>
      </c>
      <c r="L19" s="260"/>
      <c r="M19" s="260"/>
      <c r="N19" s="1"/>
      <c r="O19" s="1"/>
      <c r="P19" s="1"/>
      <c r="Q19" s="1"/>
      <c r="R19" s="1"/>
      <c r="S19" s="1"/>
      <c r="T19" s="1"/>
      <c r="U19" s="1"/>
      <c r="V19" s="1"/>
      <c r="W19" s="1"/>
      <c r="X19" s="1"/>
      <c r="Y19" s="1"/>
      <c r="Z19" s="1"/>
      <c r="AA19" s="1"/>
    </row>
    <row r="20" spans="1:27" ht="24.75" customHeight="1" x14ac:dyDescent="0.2">
      <c r="A20" s="271"/>
      <c r="B20" s="272" t="s">
        <v>146</v>
      </c>
      <c r="C20" s="272"/>
      <c r="D20" s="272"/>
      <c r="E20" s="272"/>
      <c r="F20" s="272"/>
      <c r="G20" s="272"/>
      <c r="H20" s="272"/>
      <c r="I20" s="272"/>
      <c r="J20" s="272"/>
      <c r="K20" s="272"/>
      <c r="L20" s="272"/>
      <c r="M20" s="272"/>
      <c r="N20" s="1"/>
      <c r="O20" s="1"/>
      <c r="P20" s="1"/>
      <c r="Q20" s="1"/>
      <c r="R20" s="1"/>
      <c r="S20" s="1"/>
      <c r="T20" s="1"/>
      <c r="U20" s="1"/>
      <c r="V20" s="1"/>
      <c r="W20" s="1"/>
      <c r="X20" s="1"/>
      <c r="Y20" s="1"/>
      <c r="Z20" s="1"/>
      <c r="AA20" s="1"/>
    </row>
    <row r="21" spans="1:27" ht="18.95" customHeight="1" x14ac:dyDescent="0.2">
      <c r="A21" s="5"/>
      <c r="B21" s="32" t="s">
        <v>178</v>
      </c>
      <c r="C21" s="32" t="s">
        <v>179</v>
      </c>
      <c r="D21" s="32"/>
      <c r="E21" s="32" t="s">
        <v>178</v>
      </c>
      <c r="F21" s="32" t="s">
        <v>179</v>
      </c>
      <c r="G21" s="33"/>
      <c r="H21" s="32" t="s">
        <v>178</v>
      </c>
      <c r="I21" s="32" t="s">
        <v>179</v>
      </c>
      <c r="J21" s="33"/>
      <c r="K21" s="32" t="s">
        <v>178</v>
      </c>
      <c r="L21" s="32" t="s">
        <v>179</v>
      </c>
      <c r="M21" s="55"/>
      <c r="N21" s="1"/>
      <c r="O21" s="1"/>
      <c r="P21" s="1"/>
      <c r="Q21" s="1"/>
      <c r="R21" s="1"/>
      <c r="S21" s="1"/>
      <c r="T21" s="1"/>
      <c r="U21" s="1"/>
      <c r="V21" s="1"/>
      <c r="W21" s="1"/>
      <c r="X21" s="1"/>
      <c r="Y21" s="1"/>
      <c r="Z21" s="1"/>
      <c r="AA21" s="1"/>
    </row>
    <row r="22" spans="1:27" ht="18.75" customHeight="1" x14ac:dyDescent="0.2">
      <c r="A22" s="24" t="s">
        <v>50</v>
      </c>
      <c r="B22" s="117">
        <f t="shared" ref="B22:B27" si="1">(D6/B6)-1</f>
        <v>-3.6911615306468026E-2</v>
      </c>
      <c r="C22" s="118">
        <f t="shared" ref="C22:C27" si="2">(D6/C6)-1</f>
        <v>1.6440314510364651E-2</v>
      </c>
      <c r="D22" s="119"/>
      <c r="E22" s="120">
        <f t="shared" ref="E22:E27" si="3">(G6/E6)-1</f>
        <v>-0.25</v>
      </c>
      <c r="F22" s="121">
        <f t="shared" ref="F22:F27" si="4">(G6/F6)-1</f>
        <v>2.857142857142847E-2</v>
      </c>
      <c r="G22" s="122"/>
      <c r="H22" s="121">
        <f t="shared" ref="H22:H27" si="5">(J6/H6)-1</f>
        <v>-5.8479532163742687E-2</v>
      </c>
      <c r="I22" s="121">
        <f t="shared" ref="I22:I27" si="6">(J6/I6)-1</f>
        <v>-0.1785714285714286</v>
      </c>
      <c r="J22" s="122"/>
      <c r="K22" s="121">
        <f t="shared" ref="K22:K27" si="7">(M6/K6)-1</f>
        <v>-5.1719238420005698E-2</v>
      </c>
      <c r="L22" s="121">
        <f t="shared" ref="L22:L27" si="8">(M6/L6)-1</f>
        <v>2.8034504004929239E-2</v>
      </c>
      <c r="M22" s="1"/>
      <c r="N22" s="1"/>
      <c r="O22" s="1"/>
      <c r="P22" s="1"/>
      <c r="Q22" s="1"/>
      <c r="R22" s="1"/>
      <c r="S22" s="1"/>
      <c r="T22" s="1"/>
      <c r="U22" s="1"/>
      <c r="V22" s="1"/>
      <c r="W22" s="1"/>
      <c r="X22" s="1"/>
      <c r="Y22" s="1"/>
      <c r="Z22" s="1"/>
      <c r="AA22" s="1"/>
    </row>
    <row r="23" spans="1:27" ht="18.75" customHeight="1" x14ac:dyDescent="0.2">
      <c r="A23" s="24" t="s">
        <v>142</v>
      </c>
      <c r="B23" s="120">
        <f t="shared" si="1"/>
        <v>2.1457489878542457E-2</v>
      </c>
      <c r="C23" s="121">
        <f t="shared" si="2"/>
        <v>-7.2426470588235259E-2</v>
      </c>
      <c r="D23" s="119"/>
      <c r="E23" s="120">
        <f t="shared" si="3"/>
        <v>-0.23684210526315785</v>
      </c>
      <c r="F23" s="121">
        <f t="shared" si="4"/>
        <v>-0.19444444444444442</v>
      </c>
      <c r="G23" s="122"/>
      <c r="H23" s="121">
        <f t="shared" si="5"/>
        <v>0.22818791946308714</v>
      </c>
      <c r="I23" s="121">
        <f t="shared" si="6"/>
        <v>1.1049723756906049E-2</v>
      </c>
      <c r="J23" s="122"/>
      <c r="K23" s="121">
        <f t="shared" si="7"/>
        <v>-2.3825731790333426E-3</v>
      </c>
      <c r="L23" s="121">
        <f t="shared" si="8"/>
        <v>-8.3776180056267635E-2</v>
      </c>
      <c r="M23" s="1"/>
      <c r="N23" s="1"/>
      <c r="O23" s="1"/>
      <c r="P23" s="1"/>
      <c r="Q23" s="1"/>
      <c r="R23" s="1"/>
      <c r="S23" s="1"/>
      <c r="T23" s="1"/>
      <c r="U23" s="1"/>
      <c r="V23" s="1"/>
      <c r="W23" s="1"/>
      <c r="X23" s="1"/>
      <c r="Y23" s="1"/>
      <c r="Z23" s="1"/>
      <c r="AA23" s="1"/>
    </row>
    <row r="24" spans="1:27" ht="18.75" customHeight="1" x14ac:dyDescent="0.2">
      <c r="A24" s="27" t="s">
        <v>137</v>
      </c>
      <c r="B24" s="120">
        <f t="shared" si="1"/>
        <v>-2.968645763842559E-2</v>
      </c>
      <c r="C24" s="121">
        <f t="shared" si="2"/>
        <v>5.0939306358381398E-2</v>
      </c>
      <c r="D24" s="119"/>
      <c r="E24" s="120">
        <f t="shared" si="3"/>
        <v>-0.26470588235294112</v>
      </c>
      <c r="F24" s="121">
        <f t="shared" si="4"/>
        <v>-0.26470588235294112</v>
      </c>
      <c r="G24" s="122"/>
      <c r="H24" s="121">
        <f t="shared" si="5"/>
        <v>-0.12676056338028174</v>
      </c>
      <c r="I24" s="121">
        <f t="shared" si="6"/>
        <v>3.9106145251396551E-2</v>
      </c>
      <c r="J24" s="122"/>
      <c r="K24" s="121">
        <f t="shared" si="7"/>
        <v>-6.1875693673695942E-2</v>
      </c>
      <c r="L24" s="121">
        <f t="shared" si="8"/>
        <v>5.0326188257222793E-2</v>
      </c>
      <c r="M24" s="1"/>
      <c r="N24" s="1"/>
      <c r="O24" s="1"/>
      <c r="P24" s="1"/>
      <c r="Q24" s="1"/>
      <c r="R24" s="1"/>
      <c r="S24" s="1"/>
      <c r="T24" s="1"/>
      <c r="U24" s="1"/>
      <c r="V24" s="1"/>
      <c r="W24" s="1"/>
      <c r="X24" s="1"/>
      <c r="Y24" s="1"/>
      <c r="Z24" s="1"/>
      <c r="AA24" s="1"/>
    </row>
    <row r="25" spans="1:27" ht="18.75" customHeight="1" x14ac:dyDescent="0.2">
      <c r="A25" s="53" t="s">
        <v>206</v>
      </c>
      <c r="B25" s="120">
        <f t="shared" si="1"/>
        <v>7.9541383016839884E-2</v>
      </c>
      <c r="C25" s="121">
        <f t="shared" si="2"/>
        <v>-1.439319594373567E-2</v>
      </c>
      <c r="D25" s="119"/>
      <c r="E25" s="120">
        <f t="shared" si="3"/>
        <v>-0.55000000000000004</v>
      </c>
      <c r="F25" s="121">
        <f t="shared" si="4"/>
        <v>-0.15625</v>
      </c>
      <c r="G25" s="122"/>
      <c r="H25" s="121">
        <f t="shared" si="5"/>
        <v>0.16666666666666674</v>
      </c>
      <c r="I25" s="121">
        <f t="shared" si="6"/>
        <v>-5.6521739130434789E-2</v>
      </c>
      <c r="J25" s="122"/>
      <c r="K25" s="121">
        <f t="shared" si="7"/>
        <v>6.5033537474482372E-2</v>
      </c>
      <c r="L25" s="121">
        <f t="shared" si="8"/>
        <v>4.1940085592011345E-2</v>
      </c>
      <c r="M25" s="1"/>
      <c r="N25" s="1"/>
      <c r="O25" s="1"/>
      <c r="P25" s="1"/>
      <c r="Q25" s="1"/>
      <c r="R25" s="1"/>
      <c r="S25" s="1"/>
      <c r="T25" s="1"/>
      <c r="U25" s="1"/>
      <c r="V25" s="1"/>
      <c r="W25" s="1"/>
      <c r="X25" s="1"/>
      <c r="Y25" s="1"/>
      <c r="Z25" s="1"/>
      <c r="AA25" s="1"/>
    </row>
    <row r="26" spans="1:27" ht="18.75" customHeight="1" x14ac:dyDescent="0.2">
      <c r="A26" s="53" t="s">
        <v>207</v>
      </c>
      <c r="B26" s="120">
        <f t="shared" si="1"/>
        <v>5.0326188257222793E-2</v>
      </c>
      <c r="C26" s="121">
        <f t="shared" si="2"/>
        <v>1.3185495954450177E-2</v>
      </c>
      <c r="D26" s="119"/>
      <c r="E26" s="120">
        <f t="shared" si="3"/>
        <v>-0.25531914893617025</v>
      </c>
      <c r="F26" s="121">
        <f t="shared" si="4"/>
        <v>-0.22222222222222221</v>
      </c>
      <c r="G26" s="122"/>
      <c r="H26" s="121">
        <f t="shared" si="5"/>
        <v>0.1330275229357798</v>
      </c>
      <c r="I26" s="121">
        <f t="shared" si="6"/>
        <v>3.7815126050420256E-2</v>
      </c>
      <c r="J26" s="122"/>
      <c r="K26" s="121">
        <f t="shared" si="7"/>
        <v>1.428200467411056E-2</v>
      </c>
      <c r="L26" s="121">
        <f t="shared" si="8"/>
        <v>1.0869565217391353E-2</v>
      </c>
      <c r="M26" s="1"/>
      <c r="N26" s="1"/>
      <c r="O26" s="1"/>
      <c r="P26" s="1"/>
      <c r="Q26" s="1"/>
      <c r="R26" s="1"/>
      <c r="S26" s="1"/>
      <c r="T26" s="1"/>
      <c r="U26" s="1"/>
      <c r="V26" s="1"/>
      <c r="W26" s="1"/>
      <c r="X26" s="1"/>
      <c r="Y26" s="1"/>
      <c r="Z26" s="1"/>
      <c r="AA26" s="1"/>
    </row>
    <row r="27" spans="1:27" ht="18.75" customHeight="1" x14ac:dyDescent="0.2">
      <c r="A27" s="53" t="s">
        <v>208</v>
      </c>
      <c r="B27" s="120">
        <f t="shared" si="1"/>
        <v>0.13700470114170593</v>
      </c>
      <c r="C27" s="121">
        <f t="shared" si="2"/>
        <v>4.6676970633694026E-2</v>
      </c>
      <c r="D27" s="119"/>
      <c r="E27" s="120">
        <f t="shared" si="3"/>
        <v>0.45454545454545459</v>
      </c>
      <c r="F27" s="121">
        <f t="shared" si="4"/>
        <v>0.23076923076923084</v>
      </c>
      <c r="G27" s="122"/>
      <c r="H27" s="121">
        <f t="shared" si="5"/>
        <v>0.25446428571428581</v>
      </c>
      <c r="I27" s="121">
        <f t="shared" si="6"/>
        <v>0.18565400843881852</v>
      </c>
      <c r="J27" s="122"/>
      <c r="K27" s="121">
        <f t="shared" si="7"/>
        <v>9.2946058091286199E-2</v>
      </c>
      <c r="L27" s="121">
        <f t="shared" si="8"/>
        <v>4.4133192389006259E-2</v>
      </c>
      <c r="M27" s="1"/>
      <c r="N27" s="1"/>
      <c r="O27" s="1"/>
      <c r="P27" s="1"/>
      <c r="Q27" s="1"/>
      <c r="R27" s="1"/>
      <c r="S27" s="1"/>
      <c r="T27" s="1"/>
      <c r="U27" s="1"/>
      <c r="V27" s="1"/>
      <c r="W27" s="1"/>
      <c r="X27" s="1"/>
      <c r="Y27" s="1"/>
      <c r="Z27" s="1"/>
      <c r="AA27" s="1"/>
    </row>
    <row r="28" spans="1:27" ht="18.75" customHeight="1" x14ac:dyDescent="0.2">
      <c r="A28" s="247" t="s">
        <v>222</v>
      </c>
      <c r="B28" s="120">
        <f t="shared" ref="B28:B31" si="9">(D12/B12)-1</f>
        <v>0.14247865763909329</v>
      </c>
      <c r="C28" s="121">
        <f t="shared" ref="C28:C31" si="10">(D12/C12)-1</f>
        <v>8.1962642877056124E-2</v>
      </c>
      <c r="D28" s="119"/>
      <c r="E28" s="120">
        <f t="shared" ref="E28:E31" si="11">(G12/E12)-1</f>
        <v>0.44444444444444442</v>
      </c>
      <c r="F28" s="121">
        <f t="shared" ref="F28:F31" si="12">(G12/F12)-1</f>
        <v>0</v>
      </c>
      <c r="G28" s="122"/>
      <c r="H28" s="121">
        <f t="shared" ref="H28:H31" si="13">(J12/H12)-1</f>
        <v>0.31330472103004281</v>
      </c>
      <c r="I28" s="121">
        <f t="shared" ref="I28:I31" si="14">(J12/I12)-1</f>
        <v>6.9930069930070005E-2</v>
      </c>
      <c r="J28" s="122"/>
      <c r="K28" s="121">
        <f t="shared" ref="K28:K31" si="15">(M12/K12)-1</f>
        <v>9.6432015429122497E-2</v>
      </c>
      <c r="L28" s="121">
        <f t="shared" ref="L28:L31" si="16">(M12/L12)-1</f>
        <v>8.8038277511961693E-2</v>
      </c>
      <c r="M28" s="1"/>
      <c r="N28" s="1"/>
      <c r="O28" s="1"/>
      <c r="P28" s="1"/>
      <c r="Q28" s="1"/>
      <c r="R28" s="1"/>
      <c r="S28" s="1"/>
      <c r="T28" s="1"/>
      <c r="U28" s="1"/>
      <c r="V28" s="1"/>
      <c r="W28" s="1"/>
      <c r="X28" s="1"/>
      <c r="Y28" s="1"/>
      <c r="Z28" s="1"/>
      <c r="AA28" s="1"/>
    </row>
    <row r="29" spans="1:27" ht="18.75" customHeight="1" x14ac:dyDescent="0.2">
      <c r="A29" s="247" t="s">
        <v>223</v>
      </c>
      <c r="B29" s="120">
        <f t="shared" si="9"/>
        <v>2.5812064965197168E-2</v>
      </c>
      <c r="C29" s="121">
        <f t="shared" si="10"/>
        <v>4.3978748524203137E-2</v>
      </c>
      <c r="D29" s="119"/>
      <c r="E29" s="120">
        <f t="shared" si="11"/>
        <v>0.10909090909090913</v>
      </c>
      <c r="F29" s="121">
        <f t="shared" si="12"/>
        <v>0.21999999999999997</v>
      </c>
      <c r="G29" s="122"/>
      <c r="H29" s="121">
        <f t="shared" si="13"/>
        <v>-1.2861736334405127E-2</v>
      </c>
      <c r="I29" s="121">
        <f t="shared" si="14"/>
        <v>7.7192982456140369E-2</v>
      </c>
      <c r="J29" s="122"/>
      <c r="K29" s="121">
        <f t="shared" si="15"/>
        <v>-2.0422371779995396E-2</v>
      </c>
      <c r="L29" s="121">
        <f t="shared" si="16"/>
        <v>3.6336852442916845E-2</v>
      </c>
      <c r="M29" s="1"/>
      <c r="N29" s="1"/>
      <c r="O29" s="1"/>
      <c r="P29" s="1"/>
      <c r="Q29" s="1"/>
      <c r="R29" s="1"/>
      <c r="S29" s="1"/>
      <c r="T29" s="1"/>
      <c r="U29" s="1"/>
      <c r="V29" s="1"/>
      <c r="W29" s="1"/>
      <c r="X29" s="1"/>
      <c r="Y29" s="1"/>
      <c r="Z29" s="1"/>
      <c r="AA29" s="1"/>
    </row>
    <row r="30" spans="1:27" ht="18.75" customHeight="1" x14ac:dyDescent="0.2">
      <c r="A30" s="247" t="s">
        <v>224</v>
      </c>
      <c r="B30" s="120">
        <f t="shared" si="9"/>
        <v>8.8619402985074647E-2</v>
      </c>
      <c r="C30" s="121">
        <f t="shared" si="10"/>
        <v>4.0106951871657692E-2</v>
      </c>
      <c r="D30" s="119"/>
      <c r="E30" s="120">
        <f t="shared" si="11"/>
        <v>-0.5</v>
      </c>
      <c r="F30" s="121">
        <f t="shared" si="12"/>
        <v>-0.51020408163265307</v>
      </c>
      <c r="G30" s="122"/>
      <c r="H30" s="121">
        <f t="shared" si="13"/>
        <v>0.13278008298755184</v>
      </c>
      <c r="I30" s="121">
        <f t="shared" si="14"/>
        <v>6.2256809338521402E-2</v>
      </c>
      <c r="J30" s="122"/>
      <c r="K30" s="121">
        <f t="shared" si="15"/>
        <v>4.1141681666238217E-2</v>
      </c>
      <c r="L30" s="121">
        <f t="shared" si="16"/>
        <v>1.8360160965794847E-2</v>
      </c>
      <c r="M30" s="1"/>
      <c r="N30" s="1"/>
      <c r="O30" s="1"/>
      <c r="P30" s="1"/>
      <c r="Q30" s="1"/>
      <c r="R30" s="1"/>
      <c r="S30" s="1"/>
      <c r="T30" s="1"/>
      <c r="U30" s="1"/>
      <c r="V30" s="1"/>
      <c r="W30" s="1"/>
      <c r="X30" s="1"/>
      <c r="Y30" s="1"/>
      <c r="Z30" s="1"/>
      <c r="AA30" s="1"/>
    </row>
    <row r="31" spans="1:27" ht="17.100000000000001" customHeight="1" thickBot="1" x14ac:dyDescent="0.25">
      <c r="A31" s="11" t="s">
        <v>35</v>
      </c>
      <c r="B31" s="123">
        <f t="shared" si="9"/>
        <v>3.7164684933080672E-2</v>
      </c>
      <c r="C31" s="124">
        <f t="shared" si="10"/>
        <v>7.8704995813563272E-3</v>
      </c>
      <c r="D31" s="125"/>
      <c r="E31" s="123">
        <f t="shared" si="11"/>
        <v>-0.23076923076923073</v>
      </c>
      <c r="F31" s="124">
        <f t="shared" si="12"/>
        <v>-9.5022624434389136E-2</v>
      </c>
      <c r="G31" s="126"/>
      <c r="H31" s="124">
        <f t="shared" si="13"/>
        <v>9.8191214470284338E-2</v>
      </c>
      <c r="I31" s="124">
        <f t="shared" si="14"/>
        <v>1.1102299762093537E-2</v>
      </c>
      <c r="J31" s="127"/>
      <c r="K31" s="124">
        <f t="shared" si="15"/>
        <v>9.6392441305592769E-3</v>
      </c>
      <c r="L31" s="124">
        <f t="shared" si="16"/>
        <v>1.6380842580583144E-2</v>
      </c>
      <c r="M31" s="35"/>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8.9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8.9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8.9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sheetData>
  <mergeCells count="11">
    <mergeCell ref="A19:A20"/>
    <mergeCell ref="K19:M19"/>
    <mergeCell ref="B20:M20"/>
    <mergeCell ref="B19:D19"/>
    <mergeCell ref="E19:G19"/>
    <mergeCell ref="H19:J19"/>
    <mergeCell ref="A4:A5"/>
    <mergeCell ref="B4:D4"/>
    <mergeCell ref="E4:G4"/>
    <mergeCell ref="H4:J4"/>
    <mergeCell ref="K4:M4"/>
  </mergeCells>
  <phoneticPr fontId="6" type="noConversion"/>
  <printOptions horizontalCentered="1"/>
  <pageMargins left="0.23622047244094491" right="0.23622047244094491" top="0.74803149606299213" bottom="0.74803149606299213" header="0.31496062992125984" footer="0.31496062992125984"/>
  <pageSetup paperSize="9" scale="85" orientation="portrait" verticalDpi="0" r:id="rId1"/>
  <ignoredErrors>
    <ignoredError sqref="B15:M15"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2E75-9F07-444F-A6D9-29BBF5699942}">
  <sheetPr>
    <pageSetUpPr fitToPage="1"/>
  </sheetPr>
  <dimension ref="A1:AA48"/>
  <sheetViews>
    <sheetView showGridLines="0" zoomScaleNormal="100" workbookViewId="0"/>
  </sheetViews>
  <sheetFormatPr defaultColWidth="9.140625" defaultRowHeight="12" x14ac:dyDescent="0.2"/>
  <cols>
    <col min="1" max="1" width="18.7109375" style="3" customWidth="1"/>
    <col min="2" max="13" width="7.85546875" style="3" customWidth="1"/>
    <col min="14" max="14" width="1.42578125" style="3" customWidth="1"/>
    <col min="15" max="16384" width="9.140625" style="3"/>
  </cols>
  <sheetData>
    <row r="1" spans="1:27" ht="5.25" customHeight="1" x14ac:dyDescent="0.2"/>
    <row r="2" spans="1:27" ht="18.95" customHeight="1" x14ac:dyDescent="0.25">
      <c r="A2" s="13" t="s">
        <v>187</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57" t="str">
        <f>+'1'!A4</f>
        <v>Janeiro-setembro</v>
      </c>
      <c r="B4" s="259" t="s">
        <v>6</v>
      </c>
      <c r="C4" s="260"/>
      <c r="D4" s="261"/>
      <c r="E4" s="259" t="s">
        <v>31</v>
      </c>
      <c r="F4" s="260"/>
      <c r="G4" s="261"/>
      <c r="H4" s="260" t="s">
        <v>18</v>
      </c>
      <c r="I4" s="260"/>
      <c r="J4" s="260"/>
      <c r="K4" s="259" t="s">
        <v>20</v>
      </c>
      <c r="L4" s="260"/>
      <c r="M4" s="260"/>
      <c r="N4" s="1"/>
      <c r="O4" s="1"/>
      <c r="P4" s="1"/>
      <c r="Q4" s="1"/>
      <c r="R4" s="1"/>
      <c r="S4" s="1"/>
      <c r="T4" s="1"/>
      <c r="U4" s="1"/>
      <c r="V4" s="1"/>
      <c r="W4" s="1"/>
      <c r="X4" s="1"/>
      <c r="Y4" s="1"/>
      <c r="Z4" s="1"/>
      <c r="AA4" s="1"/>
    </row>
    <row r="5" spans="1:27" ht="30" customHeight="1" x14ac:dyDescent="0.2">
      <c r="A5" s="258"/>
      <c r="B5" s="42">
        <v>2024</v>
      </c>
      <c r="C5" s="43">
        <v>2025</v>
      </c>
      <c r="D5" s="44" t="s">
        <v>177</v>
      </c>
      <c r="E5" s="42">
        <v>2024</v>
      </c>
      <c r="F5" s="43">
        <v>2025</v>
      </c>
      <c r="G5" s="44" t="s">
        <v>177</v>
      </c>
      <c r="H5" s="42">
        <v>2024</v>
      </c>
      <c r="I5" s="43">
        <v>2025</v>
      </c>
      <c r="J5" s="44" t="s">
        <v>177</v>
      </c>
      <c r="K5" s="42">
        <v>2024</v>
      </c>
      <c r="L5" s="43">
        <v>2025</v>
      </c>
      <c r="M5" s="44" t="s">
        <v>177</v>
      </c>
      <c r="N5" s="1"/>
      <c r="O5" s="1"/>
      <c r="P5" s="1"/>
      <c r="Q5" s="1"/>
      <c r="R5" s="1"/>
      <c r="S5" s="1"/>
      <c r="T5" s="1"/>
      <c r="U5" s="1"/>
      <c r="V5" s="1"/>
      <c r="W5" s="1"/>
      <c r="X5" s="1"/>
      <c r="Y5" s="1"/>
      <c r="Z5" s="1"/>
      <c r="AA5" s="1"/>
    </row>
    <row r="6" spans="1:27" ht="18.95" customHeight="1" x14ac:dyDescent="0.2">
      <c r="A6" s="24" t="s">
        <v>43</v>
      </c>
      <c r="B6" s="128">
        <v>4028</v>
      </c>
      <c r="C6" s="129">
        <v>4261</v>
      </c>
      <c r="D6" s="93">
        <f>(C6/B6)-1</f>
        <v>5.7845084409136049E-2</v>
      </c>
      <c r="E6" s="91">
        <v>32</v>
      </c>
      <c r="F6" s="92">
        <v>37</v>
      </c>
      <c r="G6" s="93">
        <f>(F6/E6)-1</f>
        <v>0.15625</v>
      </c>
      <c r="H6" s="92">
        <v>271</v>
      </c>
      <c r="I6" s="92">
        <v>288</v>
      </c>
      <c r="J6" s="93">
        <f>(I6/H6)-1</f>
        <v>6.2730627306273101E-2</v>
      </c>
      <c r="K6" s="92">
        <v>4690</v>
      </c>
      <c r="L6" s="92">
        <v>4964</v>
      </c>
      <c r="M6" s="130">
        <f>(L6/K6)-1</f>
        <v>5.8422174840085273E-2</v>
      </c>
      <c r="N6" s="1"/>
      <c r="O6" s="1"/>
      <c r="P6" s="1"/>
      <c r="Q6" s="1"/>
      <c r="R6" s="1"/>
      <c r="S6" s="1"/>
      <c r="T6" s="1"/>
      <c r="U6" s="1"/>
      <c r="V6" s="1"/>
      <c r="W6" s="1"/>
      <c r="X6" s="1"/>
      <c r="Y6" s="1"/>
      <c r="Z6" s="1"/>
      <c r="AA6" s="1"/>
    </row>
    <row r="7" spans="1:27" ht="18.95" customHeight="1" x14ac:dyDescent="0.2">
      <c r="A7" s="24" t="s">
        <v>44</v>
      </c>
      <c r="B7" s="128">
        <v>4043</v>
      </c>
      <c r="C7" s="129">
        <v>4088</v>
      </c>
      <c r="D7" s="93">
        <f t="shared" ref="D7:D12" si="0">(C7/B7)-1</f>
        <v>1.1130348750927554E-2</v>
      </c>
      <c r="E7" s="91">
        <v>46</v>
      </c>
      <c r="F7" s="92">
        <v>38</v>
      </c>
      <c r="G7" s="93">
        <f t="shared" ref="G7:G12" si="1">(F7/E7)-1</f>
        <v>-0.17391304347826086</v>
      </c>
      <c r="H7" s="92">
        <v>263</v>
      </c>
      <c r="I7" s="92">
        <v>279</v>
      </c>
      <c r="J7" s="93">
        <f t="shared" ref="J7:J12" si="2">(I7/H7)-1</f>
        <v>6.083650190114076E-2</v>
      </c>
      <c r="K7" s="92">
        <v>4710</v>
      </c>
      <c r="L7" s="92">
        <v>4748</v>
      </c>
      <c r="M7" s="130">
        <f t="shared" ref="M7:M12" si="3">(L7/K7)-1</f>
        <v>8.0679405520169833E-3</v>
      </c>
      <c r="N7" s="1"/>
      <c r="O7" s="1"/>
      <c r="P7" s="1"/>
      <c r="Q7" s="1"/>
      <c r="R7" s="1"/>
      <c r="S7" s="1"/>
      <c r="T7" s="1"/>
      <c r="U7" s="1"/>
      <c r="V7" s="1"/>
      <c r="W7" s="1"/>
      <c r="X7" s="1"/>
      <c r="Y7" s="1"/>
      <c r="Z7" s="1"/>
      <c r="AA7" s="1"/>
    </row>
    <row r="8" spans="1:27" ht="18.95" customHeight="1" x14ac:dyDescent="0.2">
      <c r="A8" s="24" t="s">
        <v>45</v>
      </c>
      <c r="B8" s="128">
        <v>4210</v>
      </c>
      <c r="C8" s="129">
        <v>4271</v>
      </c>
      <c r="D8" s="93">
        <f t="shared" si="0"/>
        <v>1.4489311163895513E-2</v>
      </c>
      <c r="E8" s="91">
        <v>48</v>
      </c>
      <c r="F8" s="92">
        <v>45</v>
      </c>
      <c r="G8" s="93">
        <f t="shared" si="1"/>
        <v>-6.25E-2</v>
      </c>
      <c r="H8" s="92">
        <v>291</v>
      </c>
      <c r="I8" s="92">
        <v>269</v>
      </c>
      <c r="J8" s="93">
        <f t="shared" si="2"/>
        <v>-7.5601374570446689E-2</v>
      </c>
      <c r="K8" s="92">
        <v>4822</v>
      </c>
      <c r="L8" s="92">
        <v>4927</v>
      </c>
      <c r="M8" s="130">
        <f t="shared" si="3"/>
        <v>2.1775197013687242E-2</v>
      </c>
      <c r="N8" s="1"/>
      <c r="O8" s="1"/>
      <c r="P8" s="1"/>
      <c r="Q8" s="1"/>
      <c r="R8" s="1"/>
      <c r="S8" s="1"/>
      <c r="T8" s="1"/>
      <c r="U8" s="1"/>
      <c r="V8" s="1"/>
      <c r="W8" s="1"/>
      <c r="X8" s="1"/>
      <c r="Y8" s="1"/>
      <c r="Z8" s="1"/>
      <c r="AA8" s="1"/>
    </row>
    <row r="9" spans="1:27" ht="18.95" customHeight="1" x14ac:dyDescent="0.2">
      <c r="A9" s="24" t="s">
        <v>46</v>
      </c>
      <c r="B9" s="128">
        <v>4052</v>
      </c>
      <c r="C9" s="129">
        <v>4118</v>
      </c>
      <c r="D9" s="93">
        <f t="shared" si="0"/>
        <v>1.6288252714708795E-2</v>
      </c>
      <c r="E9" s="91">
        <v>53</v>
      </c>
      <c r="F9" s="92">
        <v>42</v>
      </c>
      <c r="G9" s="93">
        <f t="shared" si="1"/>
        <v>-0.20754716981132071</v>
      </c>
      <c r="H9" s="92">
        <v>242</v>
      </c>
      <c r="I9" s="92">
        <v>246</v>
      </c>
      <c r="J9" s="93">
        <f t="shared" si="2"/>
        <v>1.6528925619834656E-2</v>
      </c>
      <c r="K9" s="92">
        <v>4711</v>
      </c>
      <c r="L9" s="92">
        <v>4802</v>
      </c>
      <c r="M9" s="130">
        <f t="shared" si="3"/>
        <v>1.9316493313521477E-2</v>
      </c>
      <c r="N9" s="1"/>
      <c r="O9" s="1"/>
      <c r="P9" s="1"/>
      <c r="Q9" s="1"/>
      <c r="R9" s="1"/>
      <c r="S9" s="1"/>
      <c r="T9" s="1"/>
      <c r="U9" s="1"/>
      <c r="V9" s="1"/>
      <c r="W9" s="1"/>
      <c r="X9" s="1"/>
      <c r="Y9" s="1"/>
      <c r="Z9" s="1"/>
      <c r="AA9" s="1"/>
    </row>
    <row r="10" spans="1:27" ht="18.95" customHeight="1" x14ac:dyDescent="0.2">
      <c r="A10" s="24" t="s">
        <v>47</v>
      </c>
      <c r="B10" s="128">
        <v>4454</v>
      </c>
      <c r="C10" s="129">
        <v>4493</v>
      </c>
      <c r="D10" s="93">
        <f t="shared" si="0"/>
        <v>8.756174225415414E-3</v>
      </c>
      <c r="E10" s="91">
        <v>59</v>
      </c>
      <c r="F10" s="92">
        <v>45</v>
      </c>
      <c r="G10" s="93">
        <f t="shared" si="1"/>
        <v>-0.23728813559322037</v>
      </c>
      <c r="H10" s="92">
        <v>312</v>
      </c>
      <c r="I10" s="92">
        <v>340</v>
      </c>
      <c r="J10" s="93">
        <f t="shared" si="2"/>
        <v>8.9743589743589647E-2</v>
      </c>
      <c r="K10" s="92">
        <v>5150</v>
      </c>
      <c r="L10" s="92">
        <v>5218</v>
      </c>
      <c r="M10" s="130">
        <f t="shared" si="3"/>
        <v>1.3203883495145563E-2</v>
      </c>
      <c r="N10" s="1"/>
      <c r="O10" s="1"/>
      <c r="P10" s="1"/>
      <c r="Q10" s="1"/>
      <c r="R10" s="1"/>
      <c r="S10" s="1"/>
      <c r="T10" s="1"/>
      <c r="U10" s="1"/>
      <c r="V10" s="1"/>
      <c r="W10" s="1"/>
      <c r="X10" s="1"/>
      <c r="Y10" s="1"/>
      <c r="Z10" s="1"/>
      <c r="AA10" s="1"/>
    </row>
    <row r="11" spans="1:27" ht="18.95" customHeight="1" x14ac:dyDescent="0.2">
      <c r="A11" s="24" t="s">
        <v>48</v>
      </c>
      <c r="B11" s="128">
        <v>3876</v>
      </c>
      <c r="C11" s="129">
        <v>4050</v>
      </c>
      <c r="D11" s="93">
        <f t="shared" si="0"/>
        <v>4.4891640866873139E-2</v>
      </c>
      <c r="E11" s="91">
        <v>57</v>
      </c>
      <c r="F11" s="92">
        <v>80</v>
      </c>
      <c r="G11" s="93">
        <f t="shared" si="1"/>
        <v>0.40350877192982448</v>
      </c>
      <c r="H11" s="92">
        <v>351</v>
      </c>
      <c r="I11" s="92">
        <v>389</v>
      </c>
      <c r="J11" s="93">
        <f t="shared" si="2"/>
        <v>0.10826210826210825</v>
      </c>
      <c r="K11" s="92">
        <v>4592</v>
      </c>
      <c r="L11" s="92">
        <v>4776</v>
      </c>
      <c r="M11" s="130">
        <f t="shared" si="3"/>
        <v>4.006968641114983E-2</v>
      </c>
      <c r="N11" s="1"/>
      <c r="O11" s="1"/>
      <c r="P11" s="1"/>
      <c r="Q11" s="1"/>
      <c r="R11" s="1"/>
      <c r="S11" s="1"/>
      <c r="T11" s="1"/>
      <c r="U11" s="1"/>
      <c r="V11" s="1"/>
      <c r="W11" s="1"/>
      <c r="X11" s="1"/>
      <c r="Y11" s="1"/>
      <c r="Z11" s="1"/>
      <c r="AA11" s="1"/>
    </row>
    <row r="12" spans="1:27" ht="18.95" customHeight="1" x14ac:dyDescent="0.2">
      <c r="A12" s="24" t="s">
        <v>49</v>
      </c>
      <c r="B12" s="128">
        <v>3593</v>
      </c>
      <c r="C12" s="129">
        <v>3694</v>
      </c>
      <c r="D12" s="93">
        <f t="shared" si="0"/>
        <v>2.8110214305594239E-2</v>
      </c>
      <c r="E12" s="91">
        <v>77</v>
      </c>
      <c r="F12" s="92">
        <v>50</v>
      </c>
      <c r="G12" s="93">
        <f t="shared" si="1"/>
        <v>-0.35064935064935066</v>
      </c>
      <c r="H12" s="92">
        <v>359</v>
      </c>
      <c r="I12" s="92">
        <v>350</v>
      </c>
      <c r="J12" s="93">
        <f t="shared" si="2"/>
        <v>-2.5069637883008311E-2</v>
      </c>
      <c r="K12" s="92">
        <v>4371</v>
      </c>
      <c r="L12" s="92">
        <v>4541</v>
      </c>
      <c r="M12" s="130">
        <f t="shared" si="3"/>
        <v>3.8892701898878945E-2</v>
      </c>
      <c r="N12" s="1"/>
      <c r="O12" s="1"/>
      <c r="P12" s="1"/>
      <c r="Q12" s="1"/>
      <c r="R12" s="1"/>
      <c r="S12" s="1"/>
      <c r="T12" s="1"/>
      <c r="U12" s="1"/>
      <c r="V12" s="1"/>
      <c r="W12" s="1"/>
      <c r="X12" s="1"/>
      <c r="Y12" s="1"/>
      <c r="Z12" s="1"/>
      <c r="AA12" s="1"/>
    </row>
    <row r="13" spans="1:27" ht="18.95" customHeight="1" thickBot="1" x14ac:dyDescent="0.25">
      <c r="A13" s="11" t="s">
        <v>35</v>
      </c>
      <c r="B13" s="131">
        <f>SUM(B6:B12)</f>
        <v>28256</v>
      </c>
      <c r="C13" s="132">
        <f>SUM(C6:C12)</f>
        <v>28975</v>
      </c>
      <c r="D13" s="133">
        <f>(C13/B13)-1</f>
        <v>2.5445922989807412E-2</v>
      </c>
      <c r="E13" s="131">
        <f>SUM(E6:E12)</f>
        <v>372</v>
      </c>
      <c r="F13" s="132">
        <f>SUM(F6:F12)</f>
        <v>337</v>
      </c>
      <c r="G13" s="133">
        <f>(F13/E13)-1</f>
        <v>-9.4086021505376372E-2</v>
      </c>
      <c r="H13" s="132">
        <f>SUM(H6:H12)</f>
        <v>2089</v>
      </c>
      <c r="I13" s="132">
        <f>SUM(I6:I12)</f>
        <v>2161</v>
      </c>
      <c r="J13" s="133">
        <f>(I13/H13)-1</f>
        <v>3.4466251795117309E-2</v>
      </c>
      <c r="K13" s="132">
        <f>SUM(K6:K12)</f>
        <v>33046</v>
      </c>
      <c r="L13" s="132">
        <f>SUM(L6:L12)</f>
        <v>33976</v>
      </c>
      <c r="M13" s="134">
        <f>(L13/K13)-1</f>
        <v>2.814258911819878E-2</v>
      </c>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5">
    <mergeCell ref="A4:A5"/>
    <mergeCell ref="B4:D4"/>
    <mergeCell ref="E4:G4"/>
    <mergeCell ref="H4:J4"/>
    <mergeCell ref="K4:M4"/>
  </mergeCells>
  <printOptions horizontalCentered="1"/>
  <pageMargins left="0.25" right="0.25" top="0.75" bottom="0.75" header="0.3" footer="0.3"/>
  <pageSetup paperSize="9" scale="86" orientation="portrait" verticalDpi="0" r:id="rId1"/>
  <ignoredErrors>
    <ignoredError sqref="B13:C13 E13:F13 H13:I13 K13:L13" formulaRange="1"/>
    <ignoredError sqref="D13 G13 J13"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3214-7B5C-4B81-988E-19470424BCD3}">
  <sheetPr>
    <pageSetUpPr fitToPage="1"/>
  </sheetPr>
  <dimension ref="A1:AA48"/>
  <sheetViews>
    <sheetView showGridLines="0" zoomScaleNormal="100" workbookViewId="0"/>
  </sheetViews>
  <sheetFormatPr defaultColWidth="9.140625" defaultRowHeight="12" x14ac:dyDescent="0.2"/>
  <cols>
    <col min="1" max="1" width="18.7109375" style="3" customWidth="1"/>
    <col min="2" max="13" width="7.85546875" style="3" customWidth="1"/>
    <col min="14" max="14" width="2.85546875" style="3" customWidth="1"/>
    <col min="15" max="16384" width="9.140625" style="3"/>
  </cols>
  <sheetData>
    <row r="1" spans="1:27" ht="6.75" customHeight="1" x14ac:dyDescent="0.2"/>
    <row r="2" spans="1:27" ht="18.95" customHeight="1" x14ac:dyDescent="0.25">
      <c r="A2" s="13" t="s">
        <v>188</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57" t="str">
        <f>+'1'!A4</f>
        <v>Janeiro-setembro</v>
      </c>
      <c r="B4" s="260" t="s">
        <v>6</v>
      </c>
      <c r="C4" s="260"/>
      <c r="D4" s="260"/>
      <c r="E4" s="259" t="s">
        <v>31</v>
      </c>
      <c r="F4" s="260"/>
      <c r="G4" s="261"/>
      <c r="H4" s="260" t="s">
        <v>18</v>
      </c>
      <c r="I4" s="260"/>
      <c r="J4" s="260"/>
      <c r="K4" s="259" t="s">
        <v>20</v>
      </c>
      <c r="L4" s="260"/>
      <c r="M4" s="260"/>
      <c r="N4" s="1"/>
      <c r="O4" s="1"/>
      <c r="P4" s="1"/>
      <c r="Q4" s="1"/>
      <c r="R4" s="1"/>
      <c r="S4" s="1"/>
      <c r="T4" s="1"/>
      <c r="U4" s="1"/>
      <c r="V4" s="1"/>
      <c r="W4" s="1"/>
      <c r="X4" s="1"/>
      <c r="Y4" s="1"/>
      <c r="Z4" s="1"/>
      <c r="AA4" s="1"/>
    </row>
    <row r="5" spans="1:27" ht="30" customHeight="1" x14ac:dyDescent="0.2">
      <c r="A5" s="258"/>
      <c r="B5" s="42">
        <v>2024</v>
      </c>
      <c r="C5" s="43">
        <v>2025</v>
      </c>
      <c r="D5" s="44" t="s">
        <v>177</v>
      </c>
      <c r="E5" s="42">
        <v>2024</v>
      </c>
      <c r="F5" s="43">
        <v>2025</v>
      </c>
      <c r="G5" s="44" t="s">
        <v>177</v>
      </c>
      <c r="H5" s="42">
        <v>2024</v>
      </c>
      <c r="I5" s="43">
        <v>2025</v>
      </c>
      <c r="J5" s="44" t="s">
        <v>177</v>
      </c>
      <c r="K5" s="42">
        <v>2024</v>
      </c>
      <c r="L5" s="43">
        <v>2025</v>
      </c>
      <c r="M5" s="44" t="s">
        <v>177</v>
      </c>
      <c r="N5" s="1"/>
      <c r="O5" s="1"/>
      <c r="P5" s="1"/>
      <c r="Q5" s="1"/>
      <c r="R5" s="1"/>
      <c r="S5" s="1"/>
      <c r="T5" s="1"/>
      <c r="U5" s="1"/>
      <c r="V5" s="1"/>
      <c r="W5" s="1"/>
      <c r="X5" s="1"/>
      <c r="Y5" s="1"/>
      <c r="Z5" s="1"/>
      <c r="AA5" s="1"/>
    </row>
    <row r="6" spans="1:27" ht="18.95" customHeight="1" x14ac:dyDescent="0.2">
      <c r="A6" s="24" t="s">
        <v>51</v>
      </c>
      <c r="B6" s="135">
        <v>977</v>
      </c>
      <c r="C6" s="136">
        <v>1006</v>
      </c>
      <c r="D6" s="137">
        <f>(C6/B6)-1</f>
        <v>2.9682702149437024E-2</v>
      </c>
      <c r="E6" s="92">
        <v>33</v>
      </c>
      <c r="F6" s="92">
        <v>32</v>
      </c>
      <c r="G6" s="94">
        <f>(F6/E6)-1</f>
        <v>-3.0303030303030276E-2</v>
      </c>
      <c r="H6" s="135">
        <v>102</v>
      </c>
      <c r="I6" s="136">
        <v>101</v>
      </c>
      <c r="J6" s="137">
        <f>(I6/H6)-1</f>
        <v>-9.8039215686274161E-3</v>
      </c>
      <c r="K6" s="92">
        <v>1151</v>
      </c>
      <c r="L6" s="92">
        <v>1208</v>
      </c>
      <c r="M6" s="130">
        <f>(L6/K6)-1</f>
        <v>4.9522154648132144E-2</v>
      </c>
      <c r="N6" s="1"/>
      <c r="O6" s="1"/>
      <c r="P6" s="1"/>
      <c r="Q6" s="1"/>
      <c r="R6" s="1"/>
      <c r="S6" s="1"/>
      <c r="T6" s="1"/>
      <c r="U6" s="1"/>
      <c r="V6" s="1"/>
      <c r="W6" s="1"/>
      <c r="X6" s="1"/>
      <c r="Y6" s="1"/>
      <c r="Z6" s="1"/>
      <c r="AA6" s="1"/>
    </row>
    <row r="7" spans="1:27" ht="18.95" customHeight="1" x14ac:dyDescent="0.2">
      <c r="A7" s="24" t="s">
        <v>52</v>
      </c>
      <c r="B7" s="91">
        <v>576</v>
      </c>
      <c r="C7" s="92">
        <v>687</v>
      </c>
      <c r="D7" s="93">
        <f t="shared" ref="D7:D13" si="0">(C7/B7)-1</f>
        <v>0.19270833333333326</v>
      </c>
      <c r="E7" s="92">
        <v>22</v>
      </c>
      <c r="F7" s="92">
        <v>26</v>
      </c>
      <c r="G7" s="94">
        <f t="shared" ref="G7:G13" si="1">(F7/E7)-1</f>
        <v>0.18181818181818188</v>
      </c>
      <c r="H7" s="91">
        <v>71</v>
      </c>
      <c r="I7" s="92">
        <v>93</v>
      </c>
      <c r="J7" s="93">
        <f t="shared" ref="J7:J13" si="2">(I7/H7)-1</f>
        <v>0.3098591549295775</v>
      </c>
      <c r="K7" s="92">
        <v>662</v>
      </c>
      <c r="L7" s="92">
        <v>803</v>
      </c>
      <c r="M7" s="130">
        <f t="shared" ref="M7:M13" si="3">(L7/K7)-1</f>
        <v>0.2129909365558913</v>
      </c>
      <c r="N7" s="1"/>
      <c r="O7" s="1"/>
      <c r="P7" s="1"/>
      <c r="Q7" s="1"/>
      <c r="R7" s="1"/>
      <c r="S7" s="1"/>
      <c r="T7" s="1"/>
      <c r="U7" s="1"/>
      <c r="V7" s="1"/>
      <c r="W7" s="1"/>
      <c r="X7" s="1"/>
      <c r="Y7" s="1"/>
      <c r="Z7" s="1"/>
      <c r="AA7" s="1"/>
    </row>
    <row r="8" spans="1:27" ht="18.95" customHeight="1" x14ac:dyDescent="0.2">
      <c r="A8" s="24" t="s">
        <v>53</v>
      </c>
      <c r="B8" s="91">
        <v>3139</v>
      </c>
      <c r="C8" s="92">
        <v>3230</v>
      </c>
      <c r="D8" s="93">
        <f t="shared" si="0"/>
        <v>2.8990124243389648E-2</v>
      </c>
      <c r="E8" s="92">
        <v>49</v>
      </c>
      <c r="F8" s="92">
        <v>42</v>
      </c>
      <c r="G8" s="94">
        <f t="shared" si="1"/>
        <v>-0.1428571428571429</v>
      </c>
      <c r="H8" s="91">
        <v>219</v>
      </c>
      <c r="I8" s="92">
        <v>240</v>
      </c>
      <c r="J8" s="93">
        <f t="shared" si="2"/>
        <v>9.5890410958904049E-2</v>
      </c>
      <c r="K8" s="92">
        <v>3623</v>
      </c>
      <c r="L8" s="92">
        <v>3698</v>
      </c>
      <c r="M8" s="130">
        <f t="shared" si="3"/>
        <v>2.0701076455975631E-2</v>
      </c>
      <c r="N8" s="1"/>
      <c r="O8" s="1"/>
      <c r="P8" s="1"/>
      <c r="Q8" s="1"/>
      <c r="R8" s="1"/>
      <c r="S8" s="1"/>
      <c r="T8" s="1"/>
      <c r="U8" s="1"/>
      <c r="V8" s="1"/>
      <c r="W8" s="1"/>
      <c r="X8" s="1"/>
      <c r="Y8" s="1"/>
      <c r="Z8" s="1"/>
      <c r="AA8" s="1"/>
    </row>
    <row r="9" spans="1:27" ht="18.95" customHeight="1" x14ac:dyDescent="0.2">
      <c r="A9" s="24" t="s">
        <v>54</v>
      </c>
      <c r="B9" s="91">
        <v>4764</v>
      </c>
      <c r="C9" s="92">
        <v>4784</v>
      </c>
      <c r="D9" s="93">
        <f t="shared" si="0"/>
        <v>4.198152812762368E-3</v>
      </c>
      <c r="E9" s="92">
        <v>40</v>
      </c>
      <c r="F9" s="92">
        <v>38</v>
      </c>
      <c r="G9" s="94">
        <f t="shared" si="1"/>
        <v>-5.0000000000000044E-2</v>
      </c>
      <c r="H9" s="91">
        <v>252</v>
      </c>
      <c r="I9" s="92">
        <v>311</v>
      </c>
      <c r="J9" s="93">
        <f t="shared" si="2"/>
        <v>0.23412698412698418</v>
      </c>
      <c r="K9" s="92">
        <v>5512</v>
      </c>
      <c r="L9" s="92">
        <v>5503</v>
      </c>
      <c r="M9" s="130">
        <f t="shared" si="3"/>
        <v>-1.6328011611030924E-3</v>
      </c>
      <c r="N9" s="1"/>
      <c r="O9" s="1"/>
      <c r="P9" s="1"/>
      <c r="Q9" s="1"/>
      <c r="R9" s="1"/>
      <c r="S9" s="1"/>
      <c r="T9" s="1"/>
      <c r="U9" s="1"/>
      <c r="V9" s="1"/>
      <c r="W9" s="1"/>
      <c r="X9" s="1"/>
      <c r="Y9" s="1"/>
      <c r="Z9" s="1"/>
      <c r="AA9" s="1"/>
    </row>
    <row r="10" spans="1:27" ht="18.95" customHeight="1" x14ac:dyDescent="0.2">
      <c r="A10" s="24" t="s">
        <v>55</v>
      </c>
      <c r="B10" s="91">
        <v>5051</v>
      </c>
      <c r="C10" s="92">
        <v>5177</v>
      </c>
      <c r="D10" s="93">
        <f t="shared" si="0"/>
        <v>2.4945555335577074E-2</v>
      </c>
      <c r="E10" s="92">
        <v>46</v>
      </c>
      <c r="F10" s="92">
        <v>37</v>
      </c>
      <c r="G10" s="94">
        <f t="shared" si="1"/>
        <v>-0.19565217391304346</v>
      </c>
      <c r="H10" s="91">
        <v>333</v>
      </c>
      <c r="I10" s="92">
        <v>333</v>
      </c>
      <c r="J10" s="93">
        <f t="shared" si="2"/>
        <v>0</v>
      </c>
      <c r="K10" s="92">
        <v>5985</v>
      </c>
      <c r="L10" s="92">
        <v>6147</v>
      </c>
      <c r="M10" s="130">
        <f t="shared" si="3"/>
        <v>2.7067669172932352E-2</v>
      </c>
      <c r="N10" s="1"/>
      <c r="O10" s="1"/>
      <c r="P10" s="1"/>
      <c r="Q10" s="1"/>
      <c r="R10" s="1"/>
      <c r="S10" s="1"/>
      <c r="T10" s="1"/>
      <c r="U10" s="1"/>
      <c r="V10" s="1"/>
      <c r="W10" s="1"/>
      <c r="X10" s="1"/>
      <c r="Y10" s="1"/>
      <c r="Z10" s="1"/>
      <c r="AA10" s="1"/>
    </row>
    <row r="11" spans="1:27" ht="18.95" customHeight="1" x14ac:dyDescent="0.2">
      <c r="A11" s="24" t="s">
        <v>56</v>
      </c>
      <c r="B11" s="91">
        <v>6029</v>
      </c>
      <c r="C11" s="92">
        <v>6229</v>
      </c>
      <c r="D11" s="93">
        <f t="shared" si="0"/>
        <v>3.3172997180295205E-2</v>
      </c>
      <c r="E11" s="92">
        <v>73</v>
      </c>
      <c r="F11" s="92">
        <v>83</v>
      </c>
      <c r="G11" s="94">
        <f t="shared" si="1"/>
        <v>0.13698630136986312</v>
      </c>
      <c r="H11" s="91">
        <v>449</v>
      </c>
      <c r="I11" s="92">
        <v>447</v>
      </c>
      <c r="J11" s="93">
        <f t="shared" si="2"/>
        <v>-4.4543429844098315E-3</v>
      </c>
      <c r="K11" s="92">
        <v>7078</v>
      </c>
      <c r="L11" s="92">
        <v>7489</v>
      </c>
      <c r="M11" s="130">
        <f t="shared" si="3"/>
        <v>5.8067250635772893E-2</v>
      </c>
      <c r="N11" s="1"/>
      <c r="O11" s="1"/>
      <c r="P11" s="1"/>
      <c r="Q11" s="1"/>
      <c r="R11" s="1"/>
      <c r="S11" s="1"/>
      <c r="T11" s="1"/>
      <c r="U11" s="1"/>
      <c r="V11" s="1"/>
      <c r="W11" s="1"/>
      <c r="X11" s="1"/>
      <c r="Y11" s="1"/>
      <c r="Z11" s="1"/>
      <c r="AA11" s="1"/>
    </row>
    <row r="12" spans="1:27" ht="18.95" customHeight="1" x14ac:dyDescent="0.2">
      <c r="A12" s="24" t="s">
        <v>57</v>
      </c>
      <c r="B12" s="91">
        <v>5488</v>
      </c>
      <c r="C12" s="92">
        <v>5506</v>
      </c>
      <c r="D12" s="93">
        <f t="shared" si="0"/>
        <v>3.2798833819243089E-3</v>
      </c>
      <c r="E12" s="92">
        <v>73</v>
      </c>
      <c r="F12" s="92">
        <v>46</v>
      </c>
      <c r="G12" s="94">
        <f t="shared" si="1"/>
        <v>-0.36986301369863017</v>
      </c>
      <c r="H12" s="91">
        <v>450</v>
      </c>
      <c r="I12" s="92">
        <v>414</v>
      </c>
      <c r="J12" s="93">
        <f t="shared" si="2"/>
        <v>-7.999999999999996E-2</v>
      </c>
      <c r="K12" s="92">
        <v>6412</v>
      </c>
      <c r="L12" s="92">
        <v>6367</v>
      </c>
      <c r="M12" s="130">
        <f t="shared" si="3"/>
        <v>-7.0180910792264628E-3</v>
      </c>
      <c r="N12" s="1"/>
      <c r="O12" s="1"/>
      <c r="P12" s="1"/>
      <c r="Q12" s="1"/>
      <c r="R12" s="1"/>
      <c r="S12" s="1"/>
      <c r="T12" s="1"/>
      <c r="U12" s="1"/>
      <c r="V12" s="1"/>
      <c r="W12" s="1"/>
      <c r="X12" s="1"/>
      <c r="Y12" s="1"/>
      <c r="Z12" s="1"/>
      <c r="AA12" s="1"/>
    </row>
    <row r="13" spans="1:27" ht="18.95" customHeight="1" x14ac:dyDescent="0.2">
      <c r="A13" s="24" t="s">
        <v>139</v>
      </c>
      <c r="B13" s="91">
        <v>2232</v>
      </c>
      <c r="C13" s="92">
        <v>2356</v>
      </c>
      <c r="D13" s="93">
        <f t="shared" si="0"/>
        <v>5.555555555555558E-2</v>
      </c>
      <c r="E13" s="92">
        <v>36</v>
      </c>
      <c r="F13" s="92">
        <v>33</v>
      </c>
      <c r="G13" s="94">
        <f t="shared" si="1"/>
        <v>-8.333333333333337E-2</v>
      </c>
      <c r="H13" s="91">
        <v>213</v>
      </c>
      <c r="I13" s="92">
        <v>222</v>
      </c>
      <c r="J13" s="93">
        <f t="shared" si="2"/>
        <v>4.2253521126760507E-2</v>
      </c>
      <c r="K13" s="92">
        <v>2623</v>
      </c>
      <c r="L13" s="92">
        <v>2761</v>
      </c>
      <c r="M13" s="130">
        <f t="shared" si="3"/>
        <v>5.261151353412119E-2</v>
      </c>
      <c r="N13" s="1"/>
      <c r="O13" s="1"/>
      <c r="P13" s="1"/>
      <c r="Q13" s="1"/>
      <c r="R13" s="1"/>
      <c r="S13" s="1"/>
      <c r="T13" s="1"/>
      <c r="U13" s="1"/>
      <c r="V13" s="1"/>
      <c r="W13" s="1"/>
      <c r="X13" s="1"/>
      <c r="Y13" s="1"/>
      <c r="Z13" s="1"/>
      <c r="AA13" s="1"/>
    </row>
    <row r="14" spans="1:27" ht="18.95" customHeight="1" thickBot="1" x14ac:dyDescent="0.25">
      <c r="A14" s="11" t="s">
        <v>35</v>
      </c>
      <c r="B14" s="131">
        <f>SUM(B6:B13)</f>
        <v>28256</v>
      </c>
      <c r="C14" s="132">
        <f>SUM(C6:C13)</f>
        <v>28975</v>
      </c>
      <c r="D14" s="133">
        <f>(C14/B14)-1</f>
        <v>2.5445922989807412E-2</v>
      </c>
      <c r="E14" s="132">
        <f>SUM(E6:E13)</f>
        <v>372</v>
      </c>
      <c r="F14" s="132">
        <f>SUM(F6:F13)</f>
        <v>337</v>
      </c>
      <c r="G14" s="134">
        <f>(F14/E14)-1</f>
        <v>-9.4086021505376372E-2</v>
      </c>
      <c r="H14" s="131">
        <f>SUM(H6:H13)</f>
        <v>2089</v>
      </c>
      <c r="I14" s="132">
        <f>SUM(I6:I13)</f>
        <v>2161</v>
      </c>
      <c r="J14" s="133">
        <f>(I14/H14)-1</f>
        <v>3.4466251795117309E-2</v>
      </c>
      <c r="K14" s="132">
        <f>SUM(K6:K13)</f>
        <v>33046</v>
      </c>
      <c r="L14" s="132">
        <f>SUM(L6:L13)</f>
        <v>33976</v>
      </c>
      <c r="M14" s="134">
        <f>(L14/K14)-1</f>
        <v>2.814258911819878E-2</v>
      </c>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37" spans="7:9" x14ac:dyDescent="0.2">
      <c r="G37" s="1"/>
    </row>
    <row r="48" spans="7:9" x14ac:dyDescent="0.2">
      <c r="I48" s="1"/>
    </row>
  </sheetData>
  <mergeCells count="5">
    <mergeCell ref="A4:A5"/>
    <mergeCell ref="B4:D4"/>
    <mergeCell ref="E4:G4"/>
    <mergeCell ref="H4:J4"/>
    <mergeCell ref="K4:M4"/>
  </mergeCells>
  <printOptions horizontalCentered="1"/>
  <pageMargins left="0.23622047244094491" right="0.23622047244094491" top="0.74803149606299213" bottom="0.74803149606299213" header="0.31496062992125984" footer="0.31496062992125984"/>
  <pageSetup paperSize="9" scale="85" orientation="portrait" verticalDpi="0" r:id="rId1"/>
  <ignoredErrors>
    <ignoredError sqref="B14:C14 E14:F14 H14:I14 K14:L14" formulaRange="1"/>
    <ignoredError sqref="D14 G14 J14"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B1EE-8EA8-447F-A172-8EA1173EAE05}">
  <sheetPr>
    <pageSetUpPr fitToPage="1"/>
  </sheetPr>
  <dimension ref="A1:AA47"/>
  <sheetViews>
    <sheetView showGridLines="0" zoomScaleNormal="100" workbookViewId="0"/>
  </sheetViews>
  <sheetFormatPr defaultColWidth="9.140625" defaultRowHeight="12" x14ac:dyDescent="0.2"/>
  <cols>
    <col min="1" max="1" width="18.7109375" style="3" customWidth="1"/>
    <col min="2" max="6" width="7.85546875" style="3" customWidth="1"/>
    <col min="7" max="7" width="9.140625" style="3" customWidth="1"/>
    <col min="8" max="9" width="7.85546875" style="3" customWidth="1"/>
    <col min="10" max="10" width="8.140625" style="3" customWidth="1"/>
    <col min="11" max="13" width="7.85546875" style="3" customWidth="1"/>
    <col min="14" max="14" width="2.28515625" style="3" customWidth="1"/>
    <col min="15" max="16384" width="9.140625" style="3"/>
  </cols>
  <sheetData>
    <row r="1" spans="1:27" ht="6.75" customHeight="1" x14ac:dyDescent="0.2"/>
    <row r="2" spans="1:27" ht="18.95" customHeight="1" x14ac:dyDescent="0.25">
      <c r="A2" s="13" t="s">
        <v>189</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57" t="str">
        <f>+'1'!A4</f>
        <v>Janeiro-setembro</v>
      </c>
      <c r="B4" s="259" t="s">
        <v>6</v>
      </c>
      <c r="C4" s="260"/>
      <c r="D4" s="261"/>
      <c r="E4" s="259" t="s">
        <v>31</v>
      </c>
      <c r="F4" s="260"/>
      <c r="G4" s="261"/>
      <c r="H4" s="260" t="s">
        <v>18</v>
      </c>
      <c r="I4" s="260"/>
      <c r="J4" s="260"/>
      <c r="K4" s="259" t="s">
        <v>20</v>
      </c>
      <c r="L4" s="260"/>
      <c r="M4" s="260"/>
      <c r="N4" s="1"/>
      <c r="O4" s="1"/>
      <c r="P4" s="1"/>
      <c r="Q4" s="1"/>
      <c r="R4" s="1"/>
      <c r="S4" s="1"/>
      <c r="T4" s="1"/>
      <c r="U4" s="1"/>
      <c r="V4" s="1"/>
      <c r="W4" s="1"/>
      <c r="X4" s="1"/>
      <c r="Y4" s="1"/>
      <c r="Z4" s="1"/>
      <c r="AA4" s="1"/>
    </row>
    <row r="5" spans="1:27" ht="30" customHeight="1" x14ac:dyDescent="0.2">
      <c r="A5" s="258"/>
      <c r="B5" s="42">
        <v>2024</v>
      </c>
      <c r="C5" s="43">
        <v>2025</v>
      </c>
      <c r="D5" s="44" t="s">
        <v>177</v>
      </c>
      <c r="E5" s="42">
        <v>2024</v>
      </c>
      <c r="F5" s="43">
        <v>2025</v>
      </c>
      <c r="G5" s="44" t="s">
        <v>177</v>
      </c>
      <c r="H5" s="42">
        <v>2024</v>
      </c>
      <c r="I5" s="43">
        <v>2025</v>
      </c>
      <c r="J5" s="44" t="s">
        <v>177</v>
      </c>
      <c r="K5" s="42">
        <v>2024</v>
      </c>
      <c r="L5" s="43">
        <v>2025</v>
      </c>
      <c r="M5" s="44" t="s">
        <v>177</v>
      </c>
      <c r="N5" s="1"/>
      <c r="O5" s="1"/>
      <c r="P5" s="1"/>
      <c r="Q5" s="1"/>
      <c r="R5" s="1"/>
      <c r="S5" s="1"/>
      <c r="T5" s="1"/>
      <c r="U5" s="1"/>
      <c r="V5" s="1"/>
      <c r="W5" s="1"/>
      <c r="X5" s="1"/>
      <c r="Y5" s="1"/>
      <c r="Z5" s="1"/>
      <c r="AA5" s="1"/>
    </row>
    <row r="6" spans="1:27" ht="18.95" customHeight="1" x14ac:dyDescent="0.2">
      <c r="A6" s="24" t="s">
        <v>58</v>
      </c>
      <c r="B6" s="202">
        <v>23898</v>
      </c>
      <c r="C6" s="203">
        <v>25050</v>
      </c>
      <c r="D6" s="204">
        <f>(C6/B6)-1</f>
        <v>4.8204870700476965E-2</v>
      </c>
      <c r="E6" s="205">
        <v>330</v>
      </c>
      <c r="F6" s="205">
        <v>309</v>
      </c>
      <c r="G6" s="206">
        <f>(F6/E6)-1</f>
        <v>-6.3636363636363602E-2</v>
      </c>
      <c r="H6" s="202">
        <v>1851</v>
      </c>
      <c r="I6" s="203">
        <v>1933</v>
      </c>
      <c r="J6" s="204">
        <f>(I6/H6)-1</f>
        <v>4.4300378173959931E-2</v>
      </c>
      <c r="K6" s="205">
        <v>27783</v>
      </c>
      <c r="L6" s="205">
        <v>29179</v>
      </c>
      <c r="M6" s="206">
        <f>(L6/K6)-1</f>
        <v>5.0246553647914194E-2</v>
      </c>
      <c r="N6" s="1"/>
      <c r="O6" s="1"/>
      <c r="P6" s="1"/>
      <c r="Q6" s="1"/>
      <c r="R6" s="1"/>
      <c r="S6" s="1"/>
      <c r="T6" s="1"/>
      <c r="U6" s="1"/>
      <c r="V6" s="1"/>
      <c r="W6" s="1"/>
      <c r="X6" s="1"/>
      <c r="Y6" s="1"/>
      <c r="Z6" s="1"/>
      <c r="AA6" s="1"/>
    </row>
    <row r="7" spans="1:27" ht="18.95" customHeight="1" x14ac:dyDescent="0.2">
      <c r="A7" s="24" t="s">
        <v>59</v>
      </c>
      <c r="B7" s="207">
        <v>4134</v>
      </c>
      <c r="C7" s="205">
        <v>3752</v>
      </c>
      <c r="D7" s="208">
        <f t="shared" ref="D7:D13" si="0">(C7/B7)-1</f>
        <v>-9.2404450895016921E-2</v>
      </c>
      <c r="E7" s="205">
        <v>37</v>
      </c>
      <c r="F7" s="205">
        <v>24</v>
      </c>
      <c r="G7" s="206">
        <f t="shared" ref="G7:G9" si="1">(F7/E7)-1</f>
        <v>-0.35135135135135132</v>
      </c>
      <c r="H7" s="207">
        <v>223</v>
      </c>
      <c r="I7" s="205">
        <v>200</v>
      </c>
      <c r="J7" s="208">
        <f t="shared" ref="J7:J13" si="2">(I7/H7)-1</f>
        <v>-0.10313901345291476</v>
      </c>
      <c r="K7" s="205">
        <v>5005</v>
      </c>
      <c r="L7" s="205">
        <v>4579</v>
      </c>
      <c r="M7" s="206">
        <f t="shared" ref="M7:M13" si="3">(L7/K7)-1</f>
        <v>-8.5114885114885075E-2</v>
      </c>
      <c r="N7" s="1"/>
      <c r="O7" s="1"/>
      <c r="P7" s="1"/>
      <c r="Q7" s="1"/>
      <c r="R7" s="1"/>
      <c r="S7" s="1"/>
      <c r="T7" s="1"/>
      <c r="U7" s="1"/>
      <c r="V7" s="1"/>
      <c r="W7" s="1"/>
      <c r="X7" s="1"/>
      <c r="Y7" s="1"/>
      <c r="Z7" s="1"/>
      <c r="AA7" s="1"/>
    </row>
    <row r="8" spans="1:27" ht="18.95" customHeight="1" x14ac:dyDescent="0.2">
      <c r="A8" s="24" t="s">
        <v>60</v>
      </c>
      <c r="B8" s="207">
        <v>121</v>
      </c>
      <c r="C8" s="205">
        <v>99</v>
      </c>
      <c r="D8" s="208">
        <f t="shared" si="0"/>
        <v>-0.18181818181818177</v>
      </c>
      <c r="E8" s="205">
        <v>3</v>
      </c>
      <c r="F8" s="205">
        <v>4</v>
      </c>
      <c r="G8" s="206">
        <f t="shared" si="1"/>
        <v>0.33333333333333326</v>
      </c>
      <c r="H8" s="207">
        <v>10</v>
      </c>
      <c r="I8" s="205">
        <v>15</v>
      </c>
      <c r="J8" s="208">
        <f t="shared" si="2"/>
        <v>0.5</v>
      </c>
      <c r="K8" s="205">
        <v>136</v>
      </c>
      <c r="L8" s="205">
        <v>123</v>
      </c>
      <c r="M8" s="206">
        <f t="shared" si="3"/>
        <v>-9.5588235294117641E-2</v>
      </c>
      <c r="N8" s="1"/>
      <c r="O8" s="1"/>
      <c r="P8" s="1"/>
      <c r="Q8" s="1"/>
      <c r="R8" s="1"/>
      <c r="S8" s="1"/>
      <c r="T8" s="1"/>
      <c r="U8" s="1"/>
      <c r="V8" s="1"/>
      <c r="W8" s="1"/>
      <c r="X8" s="1"/>
      <c r="Y8" s="1"/>
      <c r="Z8" s="1"/>
      <c r="AA8" s="1"/>
    </row>
    <row r="9" spans="1:27" ht="18.95" customHeight="1" x14ac:dyDescent="0.2">
      <c r="A9" s="24" t="s">
        <v>61</v>
      </c>
      <c r="B9" s="207">
        <v>42</v>
      </c>
      <c r="C9" s="205">
        <v>40</v>
      </c>
      <c r="D9" s="208">
        <f t="shared" si="0"/>
        <v>-4.7619047619047672E-2</v>
      </c>
      <c r="E9" s="205">
        <v>2</v>
      </c>
      <c r="F9" s="205">
        <v>0</v>
      </c>
      <c r="G9" s="206">
        <f t="shared" si="1"/>
        <v>-1</v>
      </c>
      <c r="H9" s="207">
        <v>2</v>
      </c>
      <c r="I9" s="205">
        <v>8</v>
      </c>
      <c r="J9" s="208">
        <f t="shared" si="2"/>
        <v>3</v>
      </c>
      <c r="K9" s="205">
        <v>44</v>
      </c>
      <c r="L9" s="205">
        <v>41</v>
      </c>
      <c r="M9" s="206">
        <f t="shared" si="3"/>
        <v>-6.8181818181818232E-2</v>
      </c>
      <c r="N9" s="1"/>
      <c r="O9" s="1"/>
      <c r="P9" s="1"/>
      <c r="Q9" s="1"/>
      <c r="R9" s="1"/>
      <c r="S9" s="1"/>
      <c r="T9" s="1"/>
      <c r="U9" s="1"/>
      <c r="V9" s="1"/>
      <c r="W9" s="1"/>
      <c r="X9" s="1"/>
      <c r="Y9" s="1"/>
      <c r="Z9" s="1"/>
      <c r="AA9" s="1"/>
    </row>
    <row r="10" spans="1:27" ht="18.95" customHeight="1" x14ac:dyDescent="0.2">
      <c r="A10" s="24" t="s">
        <v>62</v>
      </c>
      <c r="B10" s="207">
        <v>6</v>
      </c>
      <c r="C10" s="205">
        <v>2</v>
      </c>
      <c r="D10" s="208">
        <f t="shared" si="0"/>
        <v>-0.66666666666666674</v>
      </c>
      <c r="E10" s="205">
        <v>0</v>
      </c>
      <c r="F10" s="205">
        <v>0</v>
      </c>
      <c r="G10" s="94" t="s">
        <v>132</v>
      </c>
      <c r="H10" s="207">
        <v>0</v>
      </c>
      <c r="I10" s="205">
        <v>0</v>
      </c>
      <c r="J10" s="93" t="s">
        <v>132</v>
      </c>
      <c r="K10" s="205">
        <v>12</v>
      </c>
      <c r="L10" s="205">
        <v>3</v>
      </c>
      <c r="M10" s="206">
        <f t="shared" si="3"/>
        <v>-0.75</v>
      </c>
      <c r="N10" s="1"/>
      <c r="O10" s="1"/>
      <c r="P10" s="1"/>
      <c r="Q10" s="1"/>
      <c r="R10" s="1"/>
      <c r="S10" s="1"/>
      <c r="T10" s="1"/>
      <c r="U10" s="1"/>
      <c r="V10" s="1"/>
      <c r="W10" s="1"/>
      <c r="X10" s="1"/>
      <c r="Y10" s="1"/>
      <c r="Z10" s="1"/>
      <c r="AA10" s="1"/>
    </row>
    <row r="11" spans="1:27" ht="18.95" customHeight="1" x14ac:dyDescent="0.2">
      <c r="A11" s="24" t="s">
        <v>225</v>
      </c>
      <c r="B11" s="207">
        <v>2</v>
      </c>
      <c r="C11" s="205">
        <v>0</v>
      </c>
      <c r="D11" s="208">
        <f t="shared" si="0"/>
        <v>-1</v>
      </c>
      <c r="E11" s="205">
        <v>0</v>
      </c>
      <c r="F11" s="205">
        <v>0</v>
      </c>
      <c r="G11" s="94" t="s">
        <v>132</v>
      </c>
      <c r="H11" s="207">
        <v>0</v>
      </c>
      <c r="I11" s="205">
        <v>0</v>
      </c>
      <c r="J11" s="93" t="s">
        <v>132</v>
      </c>
      <c r="K11" s="205">
        <v>2</v>
      </c>
      <c r="L11" s="205">
        <v>0</v>
      </c>
      <c r="M11" s="206">
        <f t="shared" si="3"/>
        <v>-1</v>
      </c>
      <c r="N11" s="1"/>
      <c r="O11" s="1"/>
      <c r="P11" s="1"/>
      <c r="Q11" s="1"/>
      <c r="R11" s="1"/>
      <c r="S11" s="1"/>
      <c r="T11" s="1"/>
      <c r="U11" s="1"/>
      <c r="V11" s="1"/>
      <c r="W11" s="1"/>
      <c r="X11" s="1"/>
      <c r="Y11" s="1"/>
      <c r="Z11" s="1"/>
      <c r="AA11" s="1"/>
    </row>
    <row r="12" spans="1:27" ht="18.95" customHeight="1" x14ac:dyDescent="0.2">
      <c r="A12" s="24" t="s">
        <v>63</v>
      </c>
      <c r="B12" s="207">
        <v>19</v>
      </c>
      <c r="C12" s="205">
        <v>13</v>
      </c>
      <c r="D12" s="208">
        <f t="shared" si="0"/>
        <v>-0.31578947368421051</v>
      </c>
      <c r="E12" s="205">
        <v>0</v>
      </c>
      <c r="F12" s="205">
        <v>0</v>
      </c>
      <c r="G12" s="94" t="s">
        <v>132</v>
      </c>
      <c r="H12" s="207">
        <v>1</v>
      </c>
      <c r="I12" s="205">
        <v>4</v>
      </c>
      <c r="J12" s="208">
        <f t="shared" si="2"/>
        <v>3</v>
      </c>
      <c r="K12" s="205">
        <v>30</v>
      </c>
      <c r="L12" s="205">
        <v>29</v>
      </c>
      <c r="M12" s="206">
        <f t="shared" si="3"/>
        <v>-3.3333333333333326E-2</v>
      </c>
      <c r="N12" s="1"/>
      <c r="O12" s="1"/>
      <c r="P12" s="1"/>
      <c r="Q12" s="1"/>
      <c r="R12" s="1"/>
      <c r="S12" s="1"/>
      <c r="T12" s="1"/>
      <c r="U12" s="1"/>
      <c r="V12" s="1"/>
      <c r="W12" s="1"/>
      <c r="X12" s="1"/>
      <c r="Y12" s="1"/>
      <c r="Z12" s="1"/>
      <c r="AA12" s="1"/>
    </row>
    <row r="13" spans="1:27" ht="18.95" customHeight="1" x14ac:dyDescent="0.2">
      <c r="A13" s="24" t="s">
        <v>64</v>
      </c>
      <c r="B13" s="207">
        <v>34</v>
      </c>
      <c r="C13" s="205">
        <v>19</v>
      </c>
      <c r="D13" s="208">
        <f t="shared" si="0"/>
        <v>-0.44117647058823528</v>
      </c>
      <c r="E13" s="205">
        <v>0</v>
      </c>
      <c r="F13" s="205">
        <v>0</v>
      </c>
      <c r="G13" s="94" t="s">
        <v>132</v>
      </c>
      <c r="H13" s="207">
        <v>2</v>
      </c>
      <c r="I13" s="205">
        <v>1</v>
      </c>
      <c r="J13" s="208">
        <f t="shared" si="2"/>
        <v>-0.5</v>
      </c>
      <c r="K13" s="205">
        <v>34</v>
      </c>
      <c r="L13" s="205">
        <v>22</v>
      </c>
      <c r="M13" s="206">
        <f t="shared" si="3"/>
        <v>-0.3529411764705882</v>
      </c>
      <c r="N13" s="1"/>
      <c r="O13" s="1"/>
      <c r="P13" s="1"/>
      <c r="Q13" s="1"/>
      <c r="R13" s="1"/>
      <c r="S13" s="1"/>
      <c r="T13" s="1"/>
      <c r="U13" s="1"/>
      <c r="V13" s="1"/>
      <c r="W13" s="1"/>
      <c r="X13" s="1"/>
      <c r="Y13" s="1"/>
      <c r="Z13" s="1"/>
      <c r="AA13" s="1"/>
    </row>
    <row r="14" spans="1:27" ht="18.95" customHeight="1" thickBot="1" x14ac:dyDescent="0.25">
      <c r="A14" s="11" t="s">
        <v>35</v>
      </c>
      <c r="B14" s="209">
        <f>SUM(B6:B13)</f>
        <v>28256</v>
      </c>
      <c r="C14" s="210">
        <f>SUM(C6:C13)</f>
        <v>28975</v>
      </c>
      <c r="D14" s="211">
        <f>(C14/B14)-1</f>
        <v>2.5445922989807412E-2</v>
      </c>
      <c r="E14" s="210">
        <f>SUM(E6:E13)</f>
        <v>372</v>
      </c>
      <c r="F14" s="210">
        <f>SUM(F6:F13)</f>
        <v>337</v>
      </c>
      <c r="G14" s="212">
        <f>(F14/E14)-1</f>
        <v>-9.4086021505376372E-2</v>
      </c>
      <c r="H14" s="209">
        <f>SUM(H6:H13)</f>
        <v>2089</v>
      </c>
      <c r="I14" s="210">
        <f>SUM(I6:I13)</f>
        <v>2161</v>
      </c>
      <c r="J14" s="211">
        <f>(I14/H14)-1</f>
        <v>3.4466251795117309E-2</v>
      </c>
      <c r="K14" s="210">
        <f>SUM(K6:K13)</f>
        <v>33046</v>
      </c>
      <c r="L14" s="210">
        <f>SUM(L6:L13)</f>
        <v>33976</v>
      </c>
      <c r="M14" s="212">
        <f>(L14/K14)-1</f>
        <v>2.814258911819878E-2</v>
      </c>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36" spans="7:9" x14ac:dyDescent="0.2">
      <c r="G36" s="1"/>
    </row>
    <row r="47" spans="7:9" x14ac:dyDescent="0.2">
      <c r="I47" s="1"/>
    </row>
  </sheetData>
  <mergeCells count="5">
    <mergeCell ref="A4:A5"/>
    <mergeCell ref="B4:D4"/>
    <mergeCell ref="E4:G4"/>
    <mergeCell ref="H4:J4"/>
    <mergeCell ref="K4:M4"/>
  </mergeCells>
  <printOptions horizontalCentered="1"/>
  <pageMargins left="0.23622047244094491" right="0.23622047244094491" top="0.74803149606299213" bottom="0.74803149606299213" header="0.31496062992125984" footer="0.31496062992125984"/>
  <pageSetup paperSize="9" scale="84" orientation="portrait" verticalDpi="0" r:id="rId1"/>
  <ignoredErrors>
    <ignoredError sqref="B14:C14 E14:F14 H14:I14 K14:L14" formulaRange="1"/>
    <ignoredError sqref="D14 G14 J14"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3627F-FCCC-4969-A142-5384F687DBAE}">
  <sheetPr>
    <pageSetUpPr fitToPage="1"/>
  </sheetPr>
  <dimension ref="A1:AA48"/>
  <sheetViews>
    <sheetView showGridLines="0" zoomScaleNormal="100" workbookViewId="0"/>
  </sheetViews>
  <sheetFormatPr defaultColWidth="9.140625" defaultRowHeight="12" x14ac:dyDescent="0.2"/>
  <cols>
    <col min="1" max="1" width="18.7109375" style="3" customWidth="1"/>
    <col min="2" max="16" width="7.85546875" style="3" customWidth="1"/>
    <col min="17" max="17" width="3" style="3" customWidth="1"/>
    <col min="18" max="16384" width="9.140625" style="3"/>
  </cols>
  <sheetData>
    <row r="1" spans="1:27" ht="6" customHeight="1" x14ac:dyDescent="0.2"/>
    <row r="2" spans="1:27" ht="18.95" customHeight="1" x14ac:dyDescent="0.25">
      <c r="A2" s="13" t="s">
        <v>190</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71" t="str">
        <f>+'1'!A4</f>
        <v>Janeiro-setembro</v>
      </c>
      <c r="B4" s="260" t="s">
        <v>6</v>
      </c>
      <c r="C4" s="260"/>
      <c r="D4" s="261"/>
      <c r="E4" s="260" t="s">
        <v>31</v>
      </c>
      <c r="F4" s="260"/>
      <c r="G4" s="260"/>
      <c r="H4" s="259" t="s">
        <v>18</v>
      </c>
      <c r="I4" s="260"/>
      <c r="J4" s="261"/>
      <c r="K4" s="260" t="s">
        <v>20</v>
      </c>
      <c r="L4" s="260"/>
      <c r="M4" s="260"/>
      <c r="N4" s="259" t="s">
        <v>24</v>
      </c>
      <c r="O4" s="260"/>
      <c r="P4" s="260"/>
      <c r="Q4" s="1"/>
      <c r="R4" s="1"/>
      <c r="S4" s="1"/>
      <c r="T4" s="1"/>
      <c r="U4" s="1"/>
      <c r="V4" s="1"/>
      <c r="W4" s="1"/>
      <c r="X4" s="1"/>
      <c r="Y4" s="1"/>
      <c r="Z4" s="1"/>
      <c r="AA4" s="1"/>
    </row>
    <row r="5" spans="1:27" ht="30" customHeight="1" x14ac:dyDescent="0.2">
      <c r="A5" s="271"/>
      <c r="B5" s="52">
        <v>2019</v>
      </c>
      <c r="C5" s="52">
        <v>2024</v>
      </c>
      <c r="D5" s="52">
        <v>2025</v>
      </c>
      <c r="E5" s="88">
        <v>2019</v>
      </c>
      <c r="F5" s="88">
        <v>2024</v>
      </c>
      <c r="G5" s="88">
        <v>2025</v>
      </c>
      <c r="H5" s="88">
        <v>2019</v>
      </c>
      <c r="I5" s="88">
        <v>2024</v>
      </c>
      <c r="J5" s="88">
        <v>2025</v>
      </c>
      <c r="K5" s="88">
        <v>2019</v>
      </c>
      <c r="L5" s="88">
        <v>2024</v>
      </c>
      <c r="M5" s="88">
        <v>2025</v>
      </c>
      <c r="N5" s="88">
        <v>2019</v>
      </c>
      <c r="O5" s="88">
        <v>2024</v>
      </c>
      <c r="P5" s="88">
        <v>2025</v>
      </c>
      <c r="Q5" s="1"/>
      <c r="R5" s="1"/>
      <c r="S5" s="1"/>
      <c r="T5" s="1"/>
      <c r="U5" s="1"/>
      <c r="V5" s="1"/>
      <c r="W5" s="1"/>
      <c r="X5" s="1"/>
      <c r="Y5" s="1"/>
      <c r="Z5" s="1"/>
      <c r="AA5" s="1"/>
    </row>
    <row r="6" spans="1:27" ht="18.95" customHeight="1" thickBot="1" x14ac:dyDescent="0.25">
      <c r="A6" s="24" t="s">
        <v>65</v>
      </c>
      <c r="B6" s="138">
        <v>3858</v>
      </c>
      <c r="C6" s="139">
        <v>3593</v>
      </c>
      <c r="D6" s="140">
        <v>3535</v>
      </c>
      <c r="E6" s="141">
        <v>50</v>
      </c>
      <c r="F6" s="141">
        <v>50</v>
      </c>
      <c r="G6" s="141">
        <v>27</v>
      </c>
      <c r="H6" s="105">
        <v>360</v>
      </c>
      <c r="I6" s="141">
        <v>323</v>
      </c>
      <c r="J6" s="142">
        <v>277</v>
      </c>
      <c r="K6" s="141">
        <v>3831</v>
      </c>
      <c r="L6" s="141">
        <v>3557</v>
      </c>
      <c r="M6" s="141">
        <v>3535</v>
      </c>
      <c r="N6" s="215">
        <f t="shared" ref="N6:N8" si="0">E6/B6*100</f>
        <v>1.2960082944530846</v>
      </c>
      <c r="O6" s="216">
        <f t="shared" ref="O6:O8" si="1">F6/C6*100</f>
        <v>1.391594767603674</v>
      </c>
      <c r="P6" s="216">
        <f t="shared" ref="P6:P8" si="2">G6/D6*100</f>
        <v>0.76379066478076385</v>
      </c>
      <c r="Q6" s="1"/>
      <c r="R6" s="1"/>
      <c r="S6" s="1"/>
      <c r="T6" s="1"/>
      <c r="U6" s="1"/>
      <c r="V6" s="1"/>
      <c r="W6" s="1"/>
      <c r="X6" s="1"/>
      <c r="Y6" s="1"/>
      <c r="Z6" s="1"/>
      <c r="AA6" s="1"/>
    </row>
    <row r="7" spans="1:27" ht="18.95" customHeight="1" thickTop="1" thickBot="1" x14ac:dyDescent="0.25">
      <c r="A7" s="24" t="s">
        <v>66</v>
      </c>
      <c r="B7" s="105">
        <v>14561</v>
      </c>
      <c r="C7" s="141">
        <v>15136</v>
      </c>
      <c r="D7" s="142">
        <v>15581</v>
      </c>
      <c r="E7" s="141">
        <v>151</v>
      </c>
      <c r="F7" s="141">
        <v>158</v>
      </c>
      <c r="G7" s="141">
        <v>157</v>
      </c>
      <c r="H7" s="105">
        <v>843</v>
      </c>
      <c r="I7" s="141">
        <v>979</v>
      </c>
      <c r="J7" s="142">
        <v>1032</v>
      </c>
      <c r="K7" s="141">
        <v>19392</v>
      </c>
      <c r="L7" s="141">
        <v>19244</v>
      </c>
      <c r="M7" s="141">
        <v>19708</v>
      </c>
      <c r="N7" s="217">
        <f t="shared" si="0"/>
        <v>1.0370166884142571</v>
      </c>
      <c r="O7" s="218">
        <f t="shared" si="1"/>
        <v>1.0438689217758985</v>
      </c>
      <c r="P7" s="218">
        <f t="shared" si="2"/>
        <v>1.0076375072203325</v>
      </c>
      <c r="Q7" s="1"/>
      <c r="R7" s="1"/>
      <c r="S7" s="1"/>
      <c r="T7" s="1"/>
      <c r="U7" s="1"/>
      <c r="V7" s="1"/>
      <c r="W7" s="1"/>
      <c r="X7" s="1"/>
      <c r="Y7" s="1"/>
      <c r="Z7" s="1"/>
      <c r="AA7" s="1"/>
    </row>
    <row r="8" spans="1:27" ht="18.95" customHeight="1" thickTop="1" thickBot="1" x14ac:dyDescent="0.25">
      <c r="A8" s="24" t="s">
        <v>67</v>
      </c>
      <c r="B8" s="105">
        <v>9051</v>
      </c>
      <c r="C8" s="141">
        <v>9527</v>
      </c>
      <c r="D8" s="142">
        <v>9859</v>
      </c>
      <c r="E8" s="141">
        <v>198</v>
      </c>
      <c r="F8" s="141">
        <v>164</v>
      </c>
      <c r="G8" s="141">
        <v>153</v>
      </c>
      <c r="H8" s="105">
        <v>743</v>
      </c>
      <c r="I8" s="141">
        <v>787</v>
      </c>
      <c r="J8" s="142">
        <v>852</v>
      </c>
      <c r="K8" s="141">
        <v>10079</v>
      </c>
      <c r="L8" s="141">
        <v>10245</v>
      </c>
      <c r="M8" s="141">
        <v>10733</v>
      </c>
      <c r="N8" s="217">
        <f t="shared" si="0"/>
        <v>2.1876035797149487</v>
      </c>
      <c r="O8" s="218">
        <f t="shared" si="1"/>
        <v>1.7214233231867322</v>
      </c>
      <c r="P8" s="218">
        <f t="shared" si="2"/>
        <v>1.5518815295668933</v>
      </c>
      <c r="Q8" s="1"/>
      <c r="R8" s="1"/>
      <c r="S8" s="1"/>
      <c r="T8" s="1"/>
      <c r="U8" s="1"/>
      <c r="V8" s="1"/>
      <c r="W8" s="1"/>
      <c r="X8" s="1"/>
      <c r="Y8" s="1"/>
      <c r="Z8" s="1"/>
      <c r="AA8" s="1"/>
    </row>
    <row r="9" spans="1:27" ht="18.95" customHeight="1" thickTop="1" thickBot="1" x14ac:dyDescent="0.25">
      <c r="A9" s="11" t="s">
        <v>35</v>
      </c>
      <c r="B9" s="131">
        <f>SUM(B6:B8)</f>
        <v>27470</v>
      </c>
      <c r="C9" s="132">
        <f t="shared" ref="C9:M9" si="3">SUM(C6:C8)</f>
        <v>28256</v>
      </c>
      <c r="D9" s="143">
        <f t="shared" si="3"/>
        <v>28975</v>
      </c>
      <c r="E9" s="132">
        <f t="shared" si="3"/>
        <v>399</v>
      </c>
      <c r="F9" s="132">
        <f t="shared" si="3"/>
        <v>372</v>
      </c>
      <c r="G9" s="132">
        <f t="shared" si="3"/>
        <v>337</v>
      </c>
      <c r="H9" s="131">
        <f t="shared" si="3"/>
        <v>1946</v>
      </c>
      <c r="I9" s="132">
        <f t="shared" si="3"/>
        <v>2089</v>
      </c>
      <c r="J9" s="143">
        <f t="shared" si="3"/>
        <v>2161</v>
      </c>
      <c r="K9" s="132">
        <f t="shared" si="3"/>
        <v>33302</v>
      </c>
      <c r="L9" s="132">
        <f t="shared" si="3"/>
        <v>33046</v>
      </c>
      <c r="M9" s="132">
        <f t="shared" si="3"/>
        <v>33976</v>
      </c>
      <c r="N9" s="144">
        <f>E9/B9*100</f>
        <v>1.4524936294139061</v>
      </c>
      <c r="O9" s="145">
        <f>F9/C9*100</f>
        <v>1.3165345413363534</v>
      </c>
      <c r="P9" s="145">
        <f>G9/D9*100</f>
        <v>1.1630716134598791</v>
      </c>
      <c r="Q9" s="1"/>
      <c r="R9" s="1"/>
      <c r="S9" s="1"/>
      <c r="T9" s="1"/>
      <c r="U9" s="1"/>
      <c r="V9" s="1"/>
      <c r="W9" s="1"/>
      <c r="X9" s="1"/>
      <c r="Y9" s="1"/>
      <c r="Z9" s="1"/>
      <c r="AA9" s="1"/>
    </row>
    <row r="10" spans="1:27" ht="18.9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8.95" customHeight="1" x14ac:dyDescent="0.25">
      <c r="A11" s="13" t="s">
        <v>191</v>
      </c>
      <c r="B11" s="2"/>
      <c r="C11" s="2"/>
      <c r="D11" s="2"/>
      <c r="E11" s="1"/>
      <c r="F11" s="1"/>
      <c r="G11" s="1"/>
      <c r="H11" s="1"/>
      <c r="I11" s="1"/>
      <c r="J11" s="1"/>
      <c r="K11" s="1"/>
      <c r="L11" s="1"/>
      <c r="M11" s="1"/>
      <c r="N11" s="1"/>
      <c r="O11" s="1"/>
      <c r="P11" s="1"/>
      <c r="Q11" s="1"/>
      <c r="R11" s="1"/>
      <c r="S11" s="1"/>
      <c r="T11" s="1"/>
      <c r="U11" s="1"/>
      <c r="V11" s="1"/>
      <c r="W11" s="1"/>
      <c r="X11" s="1"/>
      <c r="Y11" s="1"/>
      <c r="Z11" s="1"/>
      <c r="AA11" s="1"/>
    </row>
    <row r="12" spans="1:27" ht="18.95" customHeight="1" thickBot="1" x14ac:dyDescent="0.25">
      <c r="A12" s="2"/>
      <c r="B12" s="2"/>
      <c r="C12" s="2"/>
      <c r="D12" s="2"/>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271" t="str">
        <f>+'1'!A4</f>
        <v>Janeiro-setembro</v>
      </c>
      <c r="B13" s="259" t="s">
        <v>6</v>
      </c>
      <c r="C13" s="260"/>
      <c r="D13" s="261"/>
      <c r="E13" s="260" t="s">
        <v>31</v>
      </c>
      <c r="F13" s="260"/>
      <c r="G13" s="260"/>
      <c r="H13" s="259" t="s">
        <v>18</v>
      </c>
      <c r="I13" s="260"/>
      <c r="J13" s="261"/>
      <c r="K13" s="260" t="s">
        <v>20</v>
      </c>
      <c r="L13" s="260"/>
      <c r="M13" s="260"/>
      <c r="N13" s="259" t="s">
        <v>24</v>
      </c>
      <c r="O13" s="260"/>
      <c r="P13" s="260"/>
      <c r="Q13" s="1"/>
      <c r="R13" s="1"/>
      <c r="S13" s="1"/>
      <c r="T13" s="1"/>
      <c r="U13" s="1"/>
      <c r="V13" s="1"/>
      <c r="W13" s="1"/>
      <c r="X13" s="1"/>
      <c r="Y13" s="1"/>
      <c r="Z13" s="1"/>
      <c r="AA13" s="1"/>
    </row>
    <row r="14" spans="1:27" ht="18.95" customHeight="1" x14ac:dyDescent="0.2">
      <c r="A14" s="271"/>
      <c r="B14" s="273" t="s">
        <v>146</v>
      </c>
      <c r="C14" s="272"/>
      <c r="D14" s="272"/>
      <c r="E14" s="272"/>
      <c r="F14" s="272"/>
      <c r="G14" s="272"/>
      <c r="H14" s="272"/>
      <c r="I14" s="272"/>
      <c r="J14" s="272"/>
      <c r="K14" s="272"/>
      <c r="L14" s="272"/>
      <c r="M14" s="272"/>
      <c r="N14" s="272"/>
      <c r="O14" s="272"/>
      <c r="P14" s="272"/>
      <c r="Q14" s="1"/>
      <c r="R14" s="1"/>
      <c r="S14" s="1"/>
      <c r="T14" s="1"/>
      <c r="U14" s="1"/>
      <c r="V14" s="1"/>
      <c r="W14" s="1"/>
      <c r="X14" s="1"/>
      <c r="Y14" s="1"/>
      <c r="Z14" s="1"/>
      <c r="AA14" s="1"/>
    </row>
    <row r="15" spans="1:27" ht="18.95" customHeight="1" x14ac:dyDescent="0.2">
      <c r="A15" s="5"/>
      <c r="B15" s="32" t="s">
        <v>178</v>
      </c>
      <c r="C15" s="32" t="s">
        <v>179</v>
      </c>
      <c r="D15" s="32"/>
      <c r="E15" s="32" t="s">
        <v>178</v>
      </c>
      <c r="F15" s="32" t="s">
        <v>179</v>
      </c>
      <c r="G15" s="33"/>
      <c r="H15" s="32" t="s">
        <v>178</v>
      </c>
      <c r="I15" s="32" t="s">
        <v>179</v>
      </c>
      <c r="J15" s="33"/>
      <c r="K15" s="32" t="s">
        <v>178</v>
      </c>
      <c r="L15" s="32" t="s">
        <v>179</v>
      </c>
      <c r="M15" s="55"/>
      <c r="N15" s="32" t="s">
        <v>178</v>
      </c>
      <c r="O15" s="32" t="s">
        <v>179</v>
      </c>
      <c r="P15" s="33"/>
      <c r="Q15" s="1"/>
      <c r="R15" s="1"/>
      <c r="S15" s="1"/>
      <c r="T15" s="1"/>
      <c r="U15" s="1"/>
      <c r="V15" s="1"/>
      <c r="W15" s="1"/>
      <c r="X15" s="1"/>
      <c r="Y15" s="1"/>
      <c r="Z15" s="1"/>
      <c r="AA15" s="1"/>
    </row>
    <row r="16" spans="1:27" ht="18.95" customHeight="1" x14ac:dyDescent="0.2">
      <c r="A16" s="24" t="s">
        <v>65</v>
      </c>
      <c r="B16" s="117">
        <f>(D6/B6)-1</f>
        <v>-8.3722135821669208E-2</v>
      </c>
      <c r="C16" s="118">
        <f>(D6/C6)-1</f>
        <v>-1.614249930420264E-2</v>
      </c>
      <c r="D16" s="146"/>
      <c r="E16" s="121">
        <f>(G6/E6)-1</f>
        <v>-0.45999999999999996</v>
      </c>
      <c r="F16" s="121">
        <f>(G6/F6)-1</f>
        <v>-0.45999999999999996</v>
      </c>
      <c r="G16" s="119"/>
      <c r="H16" s="120">
        <f>(J6/H6)-1</f>
        <v>-0.23055555555555551</v>
      </c>
      <c r="I16" s="121">
        <f>(J6/I6)-1</f>
        <v>-0.14241486068111453</v>
      </c>
      <c r="J16" s="122"/>
      <c r="K16" s="121">
        <f>(M6/K6)-1</f>
        <v>-7.7264421821978568E-2</v>
      </c>
      <c r="L16" s="121">
        <f>(M6/L6)-1</f>
        <v>-6.1849873488895035E-3</v>
      </c>
      <c r="M16" s="119"/>
      <c r="N16" s="120">
        <f>(P6/N6)-1</f>
        <v>-0.41065912305516272</v>
      </c>
      <c r="O16" s="121">
        <f>(P6/O6)-1</f>
        <v>-0.45114002828854316</v>
      </c>
      <c r="P16" s="21"/>
      <c r="Q16" s="1"/>
      <c r="R16" s="1"/>
      <c r="S16" s="1"/>
      <c r="T16" s="1"/>
      <c r="U16" s="1"/>
      <c r="V16" s="1"/>
      <c r="W16" s="1"/>
      <c r="X16" s="1"/>
      <c r="Y16" s="1"/>
      <c r="Z16" s="1"/>
      <c r="AA16" s="1"/>
    </row>
    <row r="17" spans="1:27" ht="18.95" customHeight="1" x14ac:dyDescent="0.2">
      <c r="A17" s="24" t="s">
        <v>66</v>
      </c>
      <c r="B17" s="120">
        <f t="shared" ref="B17:B18" si="4">(D7/B7)-1</f>
        <v>7.0050133919373758E-2</v>
      </c>
      <c r="C17" s="121">
        <f t="shared" ref="C17:C19" si="5">(D7/C7)-1</f>
        <v>2.9400105708245139E-2</v>
      </c>
      <c r="D17" s="122"/>
      <c r="E17" s="121">
        <f t="shared" ref="E17:E18" si="6">(G7/E7)-1</f>
        <v>3.9735099337748325E-2</v>
      </c>
      <c r="F17" s="121">
        <f t="shared" ref="F17:F19" si="7">(G7/F7)-1</f>
        <v>-6.3291139240506666E-3</v>
      </c>
      <c r="G17" s="119"/>
      <c r="H17" s="120">
        <f t="shared" ref="H17:H18" si="8">(J7/H7)-1</f>
        <v>0.22419928825622781</v>
      </c>
      <c r="I17" s="121">
        <f t="shared" ref="I17:I19" si="9">(J7/I7)-1</f>
        <v>5.4136874361593534E-2</v>
      </c>
      <c r="J17" s="122"/>
      <c r="K17" s="121">
        <f t="shared" ref="K17:K18" si="10">(M7/K7)-1</f>
        <v>1.6295379537953902E-2</v>
      </c>
      <c r="L17" s="121">
        <f t="shared" ref="L17:L19" si="11">(M7/L7)-1</f>
        <v>2.4111411348991973E-2</v>
      </c>
      <c r="M17" s="119"/>
      <c r="N17" s="120">
        <f t="shared" ref="N17:N19" si="12">(P7/N7)-1</f>
        <v>-2.8330480620181175E-2</v>
      </c>
      <c r="O17" s="121">
        <f t="shared" ref="O17:O19" si="13">(P7/O7)-1</f>
        <v>-3.4708777893230791E-2</v>
      </c>
      <c r="P17" s="21"/>
      <c r="Q17" s="1"/>
      <c r="R17" s="1"/>
      <c r="S17" s="1"/>
      <c r="T17" s="1"/>
      <c r="U17" s="1"/>
      <c r="V17" s="1"/>
      <c r="W17" s="1"/>
      <c r="X17" s="1"/>
      <c r="Y17" s="1"/>
      <c r="Z17" s="1"/>
      <c r="AA17" s="1"/>
    </row>
    <row r="18" spans="1:27" ht="18.95" customHeight="1" x14ac:dyDescent="0.2">
      <c r="A18" s="24" t="s">
        <v>67</v>
      </c>
      <c r="B18" s="120">
        <f t="shared" si="4"/>
        <v>8.9271903657054397E-2</v>
      </c>
      <c r="C18" s="121">
        <f t="shared" si="5"/>
        <v>3.4848325810853398E-2</v>
      </c>
      <c r="D18" s="122"/>
      <c r="E18" s="121">
        <f t="shared" si="6"/>
        <v>-0.22727272727272729</v>
      </c>
      <c r="F18" s="121">
        <f t="shared" si="7"/>
        <v>-6.7073170731707266E-2</v>
      </c>
      <c r="G18" s="119"/>
      <c r="H18" s="120">
        <f t="shared" si="8"/>
        <v>0.14670255720053826</v>
      </c>
      <c r="I18" s="121">
        <f t="shared" si="9"/>
        <v>8.2592121982210998E-2</v>
      </c>
      <c r="J18" s="122"/>
      <c r="K18" s="121">
        <f t="shared" si="10"/>
        <v>6.4887389621986369E-2</v>
      </c>
      <c r="L18" s="121">
        <f t="shared" si="11"/>
        <v>4.7632991703269845E-2</v>
      </c>
      <c r="M18" s="119"/>
      <c r="N18" s="120">
        <f t="shared" si="12"/>
        <v>-0.29060203413586105</v>
      </c>
      <c r="O18" s="121">
        <f t="shared" si="13"/>
        <v>-9.8489309013183313E-2</v>
      </c>
      <c r="P18" s="21"/>
      <c r="Q18" s="1"/>
      <c r="R18" s="1"/>
      <c r="S18" s="1"/>
      <c r="T18" s="1"/>
      <c r="U18" s="1"/>
      <c r="V18" s="1"/>
      <c r="W18" s="1"/>
      <c r="X18" s="1"/>
      <c r="Y18" s="1"/>
      <c r="Z18" s="1"/>
      <c r="AA18" s="1"/>
    </row>
    <row r="19" spans="1:27" ht="18.95" customHeight="1" thickBot="1" x14ac:dyDescent="0.25">
      <c r="A19" s="11" t="s">
        <v>35</v>
      </c>
      <c r="B19" s="123">
        <f>(D9/B9)-1</f>
        <v>5.4787040407717535E-2</v>
      </c>
      <c r="C19" s="124">
        <f t="shared" si="5"/>
        <v>2.5445922989807412E-2</v>
      </c>
      <c r="D19" s="127"/>
      <c r="E19" s="124">
        <f>(G9/E9)-1</f>
        <v>-0.15538847117794485</v>
      </c>
      <c r="F19" s="124">
        <f t="shared" si="7"/>
        <v>-9.4086021505376372E-2</v>
      </c>
      <c r="G19" s="125"/>
      <c r="H19" s="123">
        <f>(J9/H9)-1</f>
        <v>0.11048304213771831</v>
      </c>
      <c r="I19" s="124">
        <f t="shared" si="9"/>
        <v>3.4466251795117309E-2</v>
      </c>
      <c r="J19" s="127"/>
      <c r="K19" s="124">
        <f>(M9/K9)-1</f>
        <v>2.0239024683202267E-2</v>
      </c>
      <c r="L19" s="124">
        <f t="shared" si="11"/>
        <v>2.814258911819878E-2</v>
      </c>
      <c r="M19" s="125"/>
      <c r="N19" s="123">
        <f t="shared" si="12"/>
        <v>-0.19925871624704572</v>
      </c>
      <c r="O19" s="124">
        <f t="shared" si="13"/>
        <v>-0.11656581962574353</v>
      </c>
      <c r="P19" s="5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37" spans="7:9" x14ac:dyDescent="0.2">
      <c r="G37" s="1"/>
    </row>
    <row r="48" spans="7:9" x14ac:dyDescent="0.2">
      <c r="I48" s="1"/>
    </row>
  </sheetData>
  <mergeCells count="13">
    <mergeCell ref="A13:A14"/>
    <mergeCell ref="N13:P13"/>
    <mergeCell ref="B14:P14"/>
    <mergeCell ref="B13:D13"/>
    <mergeCell ref="E13:G13"/>
    <mergeCell ref="H13:J13"/>
    <mergeCell ref="K13:M13"/>
    <mergeCell ref="N4:P4"/>
    <mergeCell ref="A4:A5"/>
    <mergeCell ref="B4:D4"/>
    <mergeCell ref="E4:G4"/>
    <mergeCell ref="H4:J4"/>
    <mergeCell ref="K4:M4"/>
  </mergeCells>
  <printOptions horizontalCentered="1"/>
  <pageMargins left="0.23622047244094491" right="0.23622047244094491" top="0.74803149606299213" bottom="0.74803149606299213" header="0.31496062992125984" footer="0.31496062992125984"/>
  <pageSetup paperSize="9" scale="71" orientation="portrait" verticalDpi="0" r:id="rId1"/>
  <ignoredErrors>
    <ignoredError sqref="B9 C9:M9"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6C14-E1D1-4233-95DD-5C93E7AEF2DC}">
  <sheetPr>
    <pageSetUpPr fitToPage="1"/>
  </sheetPr>
  <dimension ref="A1:AA48"/>
  <sheetViews>
    <sheetView showGridLines="0" zoomScaleNormal="100" workbookViewId="0"/>
  </sheetViews>
  <sheetFormatPr defaultColWidth="9.140625" defaultRowHeight="12" x14ac:dyDescent="0.2"/>
  <cols>
    <col min="1" max="1" width="22.140625" style="3" customWidth="1"/>
    <col min="2" max="16" width="7.85546875" style="3" customWidth="1"/>
    <col min="17" max="17" width="2.42578125" style="3" customWidth="1"/>
    <col min="18" max="16384" width="9.140625" style="3"/>
  </cols>
  <sheetData>
    <row r="1" spans="1:27" ht="5.25" customHeight="1" x14ac:dyDescent="0.2"/>
    <row r="2" spans="1:27" ht="18.95" customHeight="1" x14ac:dyDescent="0.25">
      <c r="A2" s="13" t="s">
        <v>192</v>
      </c>
      <c r="B2" s="14"/>
      <c r="C2" s="2"/>
      <c r="D2" s="2"/>
      <c r="E2" s="2"/>
      <c r="F2" s="2"/>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71" t="str">
        <f>+'1'!A4</f>
        <v>Janeiro-setembro</v>
      </c>
      <c r="B4" s="260" t="s">
        <v>6</v>
      </c>
      <c r="C4" s="260"/>
      <c r="D4" s="261"/>
      <c r="E4" s="260" t="s">
        <v>31</v>
      </c>
      <c r="F4" s="260"/>
      <c r="G4" s="260"/>
      <c r="H4" s="259" t="s">
        <v>18</v>
      </c>
      <c r="I4" s="260"/>
      <c r="J4" s="261"/>
      <c r="K4" s="260" t="s">
        <v>20</v>
      </c>
      <c r="L4" s="260"/>
      <c r="M4" s="260"/>
      <c r="N4" s="259" t="s">
        <v>24</v>
      </c>
      <c r="O4" s="260"/>
      <c r="P4" s="260"/>
      <c r="Q4" s="1"/>
      <c r="R4" s="1"/>
      <c r="S4" s="1"/>
      <c r="T4" s="1"/>
      <c r="U4" s="1"/>
      <c r="V4" s="1"/>
      <c r="W4" s="1"/>
      <c r="X4" s="1"/>
      <c r="Y4" s="1"/>
      <c r="Z4" s="1"/>
      <c r="AA4" s="1"/>
    </row>
    <row r="5" spans="1:27" ht="30" customHeight="1" x14ac:dyDescent="0.2">
      <c r="A5" s="271"/>
      <c r="B5" s="88">
        <v>2019</v>
      </c>
      <c r="C5" s="88">
        <v>2024</v>
      </c>
      <c r="D5" s="88">
        <v>2025</v>
      </c>
      <c r="E5" s="88">
        <v>2019</v>
      </c>
      <c r="F5" s="88">
        <v>2024</v>
      </c>
      <c r="G5" s="88">
        <v>2025</v>
      </c>
      <c r="H5" s="88">
        <v>2019</v>
      </c>
      <c r="I5" s="88">
        <v>2024</v>
      </c>
      <c r="J5" s="88">
        <v>2025</v>
      </c>
      <c r="K5" s="88">
        <v>2019</v>
      </c>
      <c r="L5" s="88">
        <v>2024</v>
      </c>
      <c r="M5" s="88">
        <v>2025</v>
      </c>
      <c r="N5" s="88">
        <v>2019</v>
      </c>
      <c r="O5" s="88">
        <v>2024</v>
      </c>
      <c r="P5" s="88">
        <v>2025</v>
      </c>
      <c r="Q5" s="1"/>
      <c r="R5" s="1"/>
      <c r="S5" s="1"/>
      <c r="T5" s="1"/>
      <c r="U5" s="1"/>
      <c r="V5" s="1"/>
      <c r="W5" s="1"/>
      <c r="X5" s="1"/>
      <c r="Y5" s="1"/>
      <c r="Z5" s="1"/>
      <c r="AA5" s="1"/>
    </row>
    <row r="6" spans="1:27" ht="18.95" customHeight="1" thickBot="1" x14ac:dyDescent="0.25">
      <c r="A6" s="24" t="s">
        <v>68</v>
      </c>
      <c r="B6" s="147">
        <v>21796</v>
      </c>
      <c r="C6" s="92">
        <v>22389</v>
      </c>
      <c r="D6" s="148">
        <v>23018</v>
      </c>
      <c r="E6" s="147">
        <v>209</v>
      </c>
      <c r="F6" s="92">
        <v>211</v>
      </c>
      <c r="G6" s="92">
        <v>184</v>
      </c>
      <c r="H6" s="135">
        <v>1283</v>
      </c>
      <c r="I6" s="136">
        <v>1434</v>
      </c>
      <c r="J6" s="149">
        <v>1422</v>
      </c>
      <c r="K6" s="92">
        <v>25829</v>
      </c>
      <c r="L6" s="92">
        <v>25597</v>
      </c>
      <c r="M6" s="149">
        <v>26339</v>
      </c>
      <c r="N6" s="216">
        <f t="shared" ref="N6:P8" si="0">E6/B6*100</f>
        <v>0.95889153973206087</v>
      </c>
      <c r="O6" s="216">
        <f t="shared" si="0"/>
        <v>0.94242708472910808</v>
      </c>
      <c r="P6" s="216">
        <f t="shared" si="0"/>
        <v>0.79937440264141113</v>
      </c>
      <c r="Q6" s="1"/>
      <c r="R6" s="1"/>
      <c r="S6" s="1"/>
      <c r="T6" s="1"/>
      <c r="U6" s="1"/>
      <c r="V6" s="1"/>
      <c r="W6" s="1"/>
      <c r="X6" s="1"/>
      <c r="Y6" s="1"/>
      <c r="Z6" s="1"/>
      <c r="AA6" s="1"/>
    </row>
    <row r="7" spans="1:27" ht="18.95" customHeight="1" thickTop="1" thickBot="1" x14ac:dyDescent="0.25">
      <c r="A7" s="24" t="s">
        <v>69</v>
      </c>
      <c r="B7" s="147">
        <v>5674</v>
      </c>
      <c r="C7" s="92">
        <v>5867</v>
      </c>
      <c r="D7" s="148">
        <v>5957</v>
      </c>
      <c r="E7" s="147">
        <v>190</v>
      </c>
      <c r="F7" s="92">
        <v>161</v>
      </c>
      <c r="G7" s="92">
        <v>153</v>
      </c>
      <c r="H7" s="91">
        <v>663</v>
      </c>
      <c r="I7" s="92">
        <v>655</v>
      </c>
      <c r="J7" s="148">
        <v>739</v>
      </c>
      <c r="K7" s="92">
        <v>7473</v>
      </c>
      <c r="L7" s="92">
        <v>7449</v>
      </c>
      <c r="M7" s="148">
        <v>7637</v>
      </c>
      <c r="N7" s="217">
        <f t="shared" si="0"/>
        <v>3.3486076841734227</v>
      </c>
      <c r="O7" s="218">
        <f t="shared" si="0"/>
        <v>2.7441622635077554</v>
      </c>
      <c r="P7" s="218">
        <f t="shared" si="0"/>
        <v>2.5684069162330032</v>
      </c>
      <c r="Q7" s="1"/>
      <c r="R7" s="1"/>
      <c r="S7" s="1"/>
      <c r="T7" s="1"/>
      <c r="U7" s="1"/>
      <c r="V7" s="1"/>
      <c r="W7" s="1"/>
      <c r="X7" s="1"/>
      <c r="Y7" s="1"/>
      <c r="Z7" s="1"/>
      <c r="AA7" s="1"/>
    </row>
    <row r="8" spans="1:27" ht="18.95" customHeight="1" thickTop="1" thickBot="1" x14ac:dyDescent="0.25">
      <c r="A8" s="11" t="s">
        <v>35</v>
      </c>
      <c r="B8" s="131">
        <f>SUM(B6:B7)</f>
        <v>27470</v>
      </c>
      <c r="C8" s="132">
        <f t="shared" ref="C8:G8" si="1">SUM(C6:C7)</f>
        <v>28256</v>
      </c>
      <c r="D8" s="143">
        <f t="shared" si="1"/>
        <v>28975</v>
      </c>
      <c r="E8" s="132">
        <f t="shared" si="1"/>
        <v>399</v>
      </c>
      <c r="F8" s="132">
        <f t="shared" si="1"/>
        <v>372</v>
      </c>
      <c r="G8" s="132">
        <f t="shared" si="1"/>
        <v>337</v>
      </c>
      <c r="H8" s="131">
        <f t="shared" ref="H8" si="2">SUM(H6:H7)</f>
        <v>1946</v>
      </c>
      <c r="I8" s="132">
        <f t="shared" ref="I8" si="3">SUM(I6:I7)</f>
        <v>2089</v>
      </c>
      <c r="J8" s="143">
        <f t="shared" ref="J8" si="4">SUM(J6:J7)</f>
        <v>2161</v>
      </c>
      <c r="K8" s="132">
        <f t="shared" ref="K8" si="5">SUM(K6:K7)</f>
        <v>33302</v>
      </c>
      <c r="L8" s="132">
        <f t="shared" ref="L8" si="6">SUM(L6:L7)</f>
        <v>33046</v>
      </c>
      <c r="M8" s="143">
        <f t="shared" ref="M8" si="7">SUM(M6:M7)</f>
        <v>33976</v>
      </c>
      <c r="N8" s="145">
        <f t="shared" si="0"/>
        <v>1.4524936294139061</v>
      </c>
      <c r="O8" s="145">
        <f t="shared" si="0"/>
        <v>1.3165345413363534</v>
      </c>
      <c r="P8" s="145">
        <f t="shared" si="0"/>
        <v>1.1630716134598791</v>
      </c>
      <c r="Q8" s="1"/>
      <c r="R8" s="1"/>
      <c r="S8" s="1"/>
      <c r="T8" s="1"/>
      <c r="U8" s="1"/>
      <c r="V8" s="1"/>
      <c r="W8" s="1"/>
      <c r="X8" s="1"/>
      <c r="Y8" s="1"/>
      <c r="Z8" s="1"/>
      <c r="AA8" s="1"/>
    </row>
    <row r="9" spans="1:27" ht="18.95" customHeight="1" x14ac:dyDescent="0.2">
      <c r="A9" s="1"/>
      <c r="B9" s="1"/>
      <c r="C9" s="1"/>
      <c r="D9" s="1"/>
      <c r="E9" s="1"/>
      <c r="F9" s="1"/>
      <c r="G9" s="1"/>
      <c r="H9" s="1"/>
      <c r="I9" s="1"/>
      <c r="J9" s="1"/>
      <c r="K9" s="1"/>
      <c r="L9" s="1"/>
      <c r="M9" s="1"/>
      <c r="N9" s="1"/>
      <c r="O9" s="1"/>
      <c r="P9" s="1"/>
      <c r="Q9" s="1"/>
      <c r="R9" s="1"/>
      <c r="S9" s="1"/>
      <c r="T9" s="1"/>
      <c r="U9" s="1"/>
      <c r="V9" s="1"/>
      <c r="W9" s="1"/>
      <c r="X9" s="1"/>
      <c r="Y9" s="1"/>
      <c r="Z9" s="1"/>
      <c r="AA9" s="1"/>
    </row>
    <row r="10" spans="1:27" ht="18.95" customHeight="1" x14ac:dyDescent="0.25">
      <c r="A10" s="13" t="s">
        <v>193</v>
      </c>
      <c r="B10" s="2"/>
      <c r="C10" s="2"/>
      <c r="D10" s="2"/>
      <c r="E10" s="1"/>
      <c r="F10" s="1"/>
      <c r="G10" s="1"/>
      <c r="H10" s="1"/>
      <c r="I10" s="1"/>
      <c r="J10" s="1"/>
      <c r="K10" s="1"/>
      <c r="L10" s="1"/>
      <c r="M10" s="1"/>
      <c r="N10" s="1"/>
      <c r="O10" s="1"/>
      <c r="P10" s="1"/>
      <c r="Q10" s="1"/>
      <c r="R10" s="1"/>
      <c r="S10" s="1"/>
      <c r="T10" s="1"/>
      <c r="U10" s="1"/>
      <c r="V10" s="1"/>
      <c r="W10" s="1"/>
      <c r="X10" s="1"/>
      <c r="Y10" s="1"/>
      <c r="Z10" s="1"/>
      <c r="AA10" s="1"/>
    </row>
    <row r="11" spans="1:27" ht="18.95" customHeight="1" thickBot="1" x14ac:dyDescent="0.25">
      <c r="A11" s="2"/>
      <c r="B11" s="2"/>
      <c r="C11" s="2"/>
      <c r="D11" s="2"/>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271" t="str">
        <f>+'1'!A4</f>
        <v>Janeiro-setembro</v>
      </c>
      <c r="B12" s="259" t="s">
        <v>6</v>
      </c>
      <c r="C12" s="260"/>
      <c r="D12" s="261"/>
      <c r="E12" s="260" t="s">
        <v>31</v>
      </c>
      <c r="F12" s="260"/>
      <c r="G12" s="260"/>
      <c r="H12" s="259" t="s">
        <v>18</v>
      </c>
      <c r="I12" s="260"/>
      <c r="J12" s="261"/>
      <c r="K12" s="260" t="s">
        <v>20</v>
      </c>
      <c r="L12" s="260"/>
      <c r="M12" s="260"/>
      <c r="N12" s="259" t="s">
        <v>24</v>
      </c>
      <c r="O12" s="260"/>
      <c r="P12" s="260"/>
      <c r="Q12" s="1"/>
      <c r="R12" s="1"/>
      <c r="S12" s="1"/>
      <c r="T12" s="1"/>
      <c r="U12" s="1"/>
      <c r="V12" s="1"/>
      <c r="W12" s="1"/>
      <c r="X12" s="1"/>
      <c r="Y12" s="1"/>
      <c r="Z12" s="1"/>
      <c r="AA12" s="1"/>
    </row>
    <row r="13" spans="1:27" ht="18.95" customHeight="1" x14ac:dyDescent="0.2">
      <c r="A13" s="271"/>
      <c r="B13" s="273" t="s">
        <v>146</v>
      </c>
      <c r="C13" s="272"/>
      <c r="D13" s="272"/>
      <c r="E13" s="272"/>
      <c r="F13" s="272"/>
      <c r="G13" s="272"/>
      <c r="H13" s="272"/>
      <c r="I13" s="272"/>
      <c r="J13" s="272"/>
      <c r="K13" s="272"/>
      <c r="L13" s="272"/>
      <c r="M13" s="272"/>
      <c r="N13" s="272"/>
      <c r="O13" s="272"/>
      <c r="P13" s="272"/>
      <c r="Q13" s="1"/>
      <c r="R13" s="1"/>
      <c r="S13" s="1"/>
      <c r="T13" s="1"/>
      <c r="U13" s="1"/>
      <c r="V13" s="1"/>
      <c r="W13" s="1"/>
      <c r="X13" s="1"/>
      <c r="Y13" s="1"/>
      <c r="Z13" s="1"/>
      <c r="AA13" s="1"/>
    </row>
    <row r="14" spans="1:27" ht="18.95" customHeight="1" x14ac:dyDescent="0.2">
      <c r="A14" s="5"/>
      <c r="B14" s="32" t="s">
        <v>178</v>
      </c>
      <c r="C14" s="32" t="s">
        <v>179</v>
      </c>
      <c r="D14" s="32"/>
      <c r="E14" s="32" t="s">
        <v>178</v>
      </c>
      <c r="F14" s="32" t="s">
        <v>179</v>
      </c>
      <c r="G14" s="33"/>
      <c r="H14" s="32" t="s">
        <v>178</v>
      </c>
      <c r="I14" s="32" t="s">
        <v>179</v>
      </c>
      <c r="J14" s="33"/>
      <c r="K14" s="32" t="s">
        <v>178</v>
      </c>
      <c r="L14" s="32" t="s">
        <v>179</v>
      </c>
      <c r="M14" s="55"/>
      <c r="N14" s="32" t="s">
        <v>178</v>
      </c>
      <c r="O14" s="32" t="s">
        <v>179</v>
      </c>
      <c r="P14" s="33"/>
      <c r="Q14" s="1"/>
      <c r="R14" s="1"/>
      <c r="S14" s="1"/>
      <c r="T14" s="1"/>
      <c r="U14" s="1"/>
      <c r="V14" s="1"/>
      <c r="W14" s="1"/>
      <c r="X14" s="1"/>
      <c r="Y14" s="1"/>
      <c r="Z14" s="1"/>
      <c r="AA14" s="1"/>
    </row>
    <row r="15" spans="1:27" ht="18.95" customHeight="1" x14ac:dyDescent="0.2">
      <c r="A15" s="24" t="s">
        <v>68</v>
      </c>
      <c r="B15" s="117">
        <f>(D6/B6)-1</f>
        <v>5.6065333088640035E-2</v>
      </c>
      <c r="C15" s="118">
        <f>(D6/C6)-1</f>
        <v>2.8094153378891429E-2</v>
      </c>
      <c r="D15" s="146"/>
      <c r="E15" s="121">
        <f>(G6/E6)-1</f>
        <v>-0.11961722488038273</v>
      </c>
      <c r="F15" s="121">
        <f>(G6/F6)-1</f>
        <v>-0.12796208530805686</v>
      </c>
      <c r="G15" s="119"/>
      <c r="H15" s="117">
        <f>(J6/H6)-1</f>
        <v>0.10833982852689017</v>
      </c>
      <c r="I15" s="118">
        <f>(J6/I6)-1</f>
        <v>-8.3682008368201055E-3</v>
      </c>
      <c r="J15" s="146"/>
      <c r="K15" s="117">
        <f>(M6/K6)-1</f>
        <v>1.9745247589918247E-2</v>
      </c>
      <c r="L15" s="118">
        <f>(M6/L6)-1</f>
        <v>2.8987772004531731E-2</v>
      </c>
      <c r="M15" s="146"/>
      <c r="N15" s="121">
        <f>(P6/N6)-1</f>
        <v>-0.16635576650850725</v>
      </c>
      <c r="O15" s="121">
        <f>(P6/O6)-1</f>
        <v>-0.15179177721618231</v>
      </c>
      <c r="P15" s="21"/>
      <c r="Q15" s="1"/>
      <c r="R15" s="1"/>
      <c r="S15" s="1"/>
      <c r="T15" s="1"/>
      <c r="U15" s="1"/>
      <c r="V15" s="1"/>
      <c r="W15" s="1"/>
      <c r="X15" s="1"/>
      <c r="Y15" s="1"/>
      <c r="Z15" s="1"/>
      <c r="AA15" s="1"/>
    </row>
    <row r="16" spans="1:27" ht="18.95" customHeight="1" x14ac:dyDescent="0.2">
      <c r="A16" s="24" t="s">
        <v>69</v>
      </c>
      <c r="B16" s="120">
        <f t="shared" ref="B16:B17" si="8">(D7/B7)-1</f>
        <v>4.9876630243214759E-2</v>
      </c>
      <c r="C16" s="121">
        <f t="shared" ref="C16:C17" si="9">(D7/C7)-1</f>
        <v>1.5340037497869385E-2</v>
      </c>
      <c r="D16" s="122"/>
      <c r="E16" s="121">
        <f t="shared" ref="E16:E17" si="10">(G7/E7)-1</f>
        <v>-0.19473684210526321</v>
      </c>
      <c r="F16" s="121">
        <f t="shared" ref="F16:F17" si="11">(G7/F7)-1</f>
        <v>-4.9689440993788803E-2</v>
      </c>
      <c r="G16" s="119"/>
      <c r="H16" s="120">
        <f t="shared" ref="H16:H17" si="12">(J7/H7)-1</f>
        <v>0.11463046757164408</v>
      </c>
      <c r="I16" s="121">
        <f t="shared" ref="I16:I17" si="13">(J7/I7)-1</f>
        <v>0.12824427480916034</v>
      </c>
      <c r="J16" s="122"/>
      <c r="K16" s="120">
        <f t="shared" ref="K16:K17" si="14">(M7/K7)-1</f>
        <v>2.1945671082563845E-2</v>
      </c>
      <c r="L16" s="121">
        <f t="shared" ref="L16:L17" si="15">(M7/L7)-1</f>
        <v>2.5238287018391814E-2</v>
      </c>
      <c r="M16" s="122"/>
      <c r="N16" s="121">
        <f t="shared" ref="N16:N17" si="16">(P7/N7)-1</f>
        <v>-0.23299258722599681</v>
      </c>
      <c r="O16" s="121">
        <f t="shared" ref="O16:O17" si="17">(P7/O7)-1</f>
        <v>-6.4046995183911215E-2</v>
      </c>
      <c r="P16" s="21"/>
      <c r="Q16" s="1"/>
      <c r="R16" s="1"/>
      <c r="S16" s="1"/>
      <c r="T16" s="1"/>
      <c r="U16" s="1"/>
      <c r="V16" s="1"/>
      <c r="W16" s="1"/>
      <c r="X16" s="1"/>
      <c r="Y16" s="1"/>
      <c r="Z16" s="1"/>
      <c r="AA16" s="1"/>
    </row>
    <row r="17" spans="1:27" ht="18.95" customHeight="1" thickBot="1" x14ac:dyDescent="0.25">
      <c r="A17" s="11" t="s">
        <v>35</v>
      </c>
      <c r="B17" s="123">
        <f t="shared" si="8"/>
        <v>5.4787040407717535E-2</v>
      </c>
      <c r="C17" s="124">
        <f t="shared" si="9"/>
        <v>2.5445922989807412E-2</v>
      </c>
      <c r="D17" s="127"/>
      <c r="E17" s="124">
        <f t="shared" si="10"/>
        <v>-0.15538847117794485</v>
      </c>
      <c r="F17" s="124">
        <f t="shared" si="11"/>
        <v>-9.4086021505376372E-2</v>
      </c>
      <c r="G17" s="125"/>
      <c r="H17" s="123">
        <f t="shared" si="12"/>
        <v>0.11048304213771831</v>
      </c>
      <c r="I17" s="124">
        <f t="shared" si="13"/>
        <v>3.4466251795117309E-2</v>
      </c>
      <c r="J17" s="127"/>
      <c r="K17" s="123">
        <f t="shared" si="14"/>
        <v>2.0239024683202267E-2</v>
      </c>
      <c r="L17" s="124">
        <f t="shared" si="15"/>
        <v>2.814258911819878E-2</v>
      </c>
      <c r="M17" s="127"/>
      <c r="N17" s="124">
        <f t="shared" si="16"/>
        <v>-0.19925871624704572</v>
      </c>
      <c r="O17" s="124">
        <f t="shared" si="17"/>
        <v>-0.11656581962574353</v>
      </c>
      <c r="P17" s="5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13">
    <mergeCell ref="A12:A13"/>
    <mergeCell ref="N12:P12"/>
    <mergeCell ref="B13:P13"/>
    <mergeCell ref="B12:D12"/>
    <mergeCell ref="E12:G12"/>
    <mergeCell ref="H12:J12"/>
    <mergeCell ref="K12:M12"/>
    <mergeCell ref="N4:P4"/>
    <mergeCell ref="A4:A5"/>
    <mergeCell ref="B4:D4"/>
    <mergeCell ref="E4:G4"/>
    <mergeCell ref="H4:J4"/>
    <mergeCell ref="K4:M4"/>
  </mergeCells>
  <printOptions horizontalCentered="1"/>
  <pageMargins left="0.23622047244094491" right="0.23622047244094491" top="0.74803149606299213" bottom="0.74803149606299213" header="0.31496062992125984" footer="0.31496062992125984"/>
  <pageSetup paperSize="9" scale="69" orientation="portrait" verticalDpi="0" r:id="rId1"/>
  <ignoredErrors>
    <ignoredError sqref="B8:M8"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17EA-C0BD-44F7-949F-6BC5A0E11F4F}">
  <sheetPr>
    <pageSetUpPr fitToPage="1"/>
  </sheetPr>
  <dimension ref="A1:AA48"/>
  <sheetViews>
    <sheetView showGridLines="0" zoomScaleNormal="100" workbookViewId="0"/>
  </sheetViews>
  <sheetFormatPr defaultColWidth="9.140625" defaultRowHeight="12" x14ac:dyDescent="0.25"/>
  <cols>
    <col min="1" max="1" width="18.7109375" style="45" customWidth="1"/>
    <col min="2" max="16" width="7.85546875" style="45" customWidth="1"/>
    <col min="17" max="17" width="3.140625" style="45" customWidth="1"/>
    <col min="18" max="16384" width="9.140625" style="45"/>
  </cols>
  <sheetData>
    <row r="1" spans="1:27" ht="7.5" customHeight="1" x14ac:dyDescent="0.25"/>
    <row r="2" spans="1:27" ht="18.95" customHeight="1" x14ac:dyDescent="0.25">
      <c r="A2" s="46" t="s">
        <v>198</v>
      </c>
      <c r="B2" s="47"/>
      <c r="C2" s="48"/>
      <c r="D2" s="48"/>
      <c r="E2" s="48"/>
      <c r="F2" s="27"/>
      <c r="G2" s="27"/>
      <c r="H2" s="27"/>
      <c r="I2" s="27"/>
      <c r="J2" s="27"/>
      <c r="K2" s="27"/>
      <c r="L2" s="27"/>
      <c r="M2" s="27"/>
      <c r="N2" s="27"/>
      <c r="O2" s="27"/>
      <c r="P2" s="27"/>
      <c r="Q2" s="27"/>
      <c r="R2" s="27"/>
      <c r="S2" s="27"/>
      <c r="T2" s="27"/>
      <c r="U2" s="27"/>
      <c r="V2" s="27"/>
      <c r="W2" s="27"/>
      <c r="X2" s="27"/>
      <c r="Y2" s="27"/>
      <c r="Z2" s="27"/>
      <c r="AA2" s="27"/>
    </row>
    <row r="3" spans="1:27" ht="18.95" customHeight="1" thickBot="1" x14ac:dyDescent="0.3">
      <c r="A3" s="48"/>
      <c r="B3" s="48"/>
      <c r="C3" s="48"/>
      <c r="D3" s="48"/>
      <c r="E3" s="48"/>
      <c r="F3" s="27"/>
      <c r="G3" s="27"/>
      <c r="H3" s="27"/>
      <c r="I3" s="27"/>
      <c r="J3" s="27"/>
      <c r="K3" s="27"/>
      <c r="L3" s="27"/>
      <c r="M3" s="27"/>
      <c r="N3" s="27"/>
      <c r="O3" s="27"/>
      <c r="P3" s="27"/>
      <c r="Q3" s="27"/>
      <c r="R3" s="27"/>
      <c r="S3" s="27"/>
      <c r="T3" s="27"/>
      <c r="U3" s="27"/>
      <c r="V3" s="27"/>
      <c r="W3" s="27"/>
      <c r="X3" s="27"/>
      <c r="Y3" s="27"/>
      <c r="Z3" s="27"/>
      <c r="AA3" s="27"/>
    </row>
    <row r="4" spans="1:27" ht="18.95" customHeight="1" x14ac:dyDescent="0.25">
      <c r="A4" s="271" t="str">
        <f>+'1'!A4</f>
        <v>Janeiro-setembro</v>
      </c>
      <c r="B4" s="259" t="s">
        <v>6</v>
      </c>
      <c r="C4" s="260"/>
      <c r="D4" s="261"/>
      <c r="E4" s="260" t="s">
        <v>31</v>
      </c>
      <c r="F4" s="260"/>
      <c r="G4" s="260"/>
      <c r="H4" s="259" t="s">
        <v>18</v>
      </c>
      <c r="I4" s="260"/>
      <c r="J4" s="261"/>
      <c r="K4" s="260" t="s">
        <v>20</v>
      </c>
      <c r="L4" s="260"/>
      <c r="M4" s="260"/>
      <c r="N4" s="259" t="s">
        <v>24</v>
      </c>
      <c r="O4" s="260"/>
      <c r="P4" s="260"/>
      <c r="Q4" s="27"/>
      <c r="R4" s="27"/>
      <c r="S4" s="27"/>
      <c r="T4" s="27"/>
      <c r="U4" s="27"/>
      <c r="V4" s="27"/>
      <c r="W4" s="27"/>
      <c r="X4" s="27"/>
      <c r="Y4" s="27"/>
      <c r="Z4" s="27"/>
      <c r="AA4" s="27"/>
    </row>
    <row r="5" spans="1:27" ht="30" customHeight="1" x14ac:dyDescent="0.25">
      <c r="A5" s="271"/>
      <c r="B5" s="88">
        <v>2019</v>
      </c>
      <c r="C5" s="88">
        <v>2024</v>
      </c>
      <c r="D5" s="88">
        <v>2025</v>
      </c>
      <c r="E5" s="88">
        <v>2019</v>
      </c>
      <c r="F5" s="88">
        <v>2024</v>
      </c>
      <c r="G5" s="88">
        <v>2025</v>
      </c>
      <c r="H5" s="88">
        <v>2019</v>
      </c>
      <c r="I5" s="88">
        <v>2024</v>
      </c>
      <c r="J5" s="88">
        <v>2025</v>
      </c>
      <c r="K5" s="88">
        <v>2019</v>
      </c>
      <c r="L5" s="88">
        <v>2024</v>
      </c>
      <c r="M5" s="88">
        <v>2025</v>
      </c>
      <c r="N5" s="88">
        <v>2019</v>
      </c>
      <c r="O5" s="88">
        <v>2024</v>
      </c>
      <c r="P5" s="88">
        <v>2025</v>
      </c>
      <c r="Q5" s="27"/>
      <c r="R5" s="27"/>
      <c r="S5" s="27"/>
      <c r="T5" s="27"/>
      <c r="U5" s="27"/>
      <c r="V5" s="27"/>
      <c r="W5" s="27"/>
      <c r="X5" s="27"/>
      <c r="Y5" s="27"/>
      <c r="Z5" s="27"/>
      <c r="AA5" s="27"/>
    </row>
    <row r="6" spans="1:27" ht="17.100000000000001" customHeight="1" x14ac:dyDescent="0.25">
      <c r="A6" s="24" t="s">
        <v>71</v>
      </c>
      <c r="B6" s="135">
        <v>1475</v>
      </c>
      <c r="C6" s="136">
        <v>1551</v>
      </c>
      <c r="D6" s="150">
        <v>1709</v>
      </c>
      <c r="E6" s="136">
        <v>44</v>
      </c>
      <c r="F6" s="136">
        <v>32</v>
      </c>
      <c r="G6" s="150">
        <v>34</v>
      </c>
      <c r="H6" s="92">
        <v>120</v>
      </c>
      <c r="I6" s="92">
        <v>109</v>
      </c>
      <c r="J6" s="151">
        <v>146</v>
      </c>
      <c r="K6" s="136">
        <v>2145</v>
      </c>
      <c r="L6" s="136">
        <v>2170</v>
      </c>
      <c r="M6" s="150">
        <v>2393</v>
      </c>
      <c r="N6" s="152">
        <f t="shared" ref="N6:P6" si="0">E6/B6*100</f>
        <v>2.9830508474576272</v>
      </c>
      <c r="O6" s="152">
        <f t="shared" si="0"/>
        <v>2.0631850419084463</v>
      </c>
      <c r="P6" s="152">
        <f t="shared" si="0"/>
        <v>1.989467524868344</v>
      </c>
      <c r="Q6" s="27"/>
      <c r="R6" s="27"/>
      <c r="S6" s="27"/>
      <c r="T6" s="27"/>
      <c r="U6" s="27"/>
      <c r="V6" s="27"/>
      <c r="W6" s="27"/>
      <c r="X6" s="27"/>
      <c r="Y6" s="27"/>
      <c r="Z6" s="27"/>
      <c r="AA6" s="27"/>
    </row>
    <row r="7" spans="1:27" ht="17.100000000000001" customHeight="1" x14ac:dyDescent="0.25">
      <c r="A7" s="24" t="s">
        <v>143</v>
      </c>
      <c r="B7" s="91">
        <v>17960</v>
      </c>
      <c r="C7" s="92">
        <v>17695</v>
      </c>
      <c r="D7" s="151">
        <v>18058</v>
      </c>
      <c r="E7" s="92">
        <v>153</v>
      </c>
      <c r="F7" s="92">
        <v>127</v>
      </c>
      <c r="G7" s="151">
        <v>113</v>
      </c>
      <c r="H7" s="92">
        <v>996</v>
      </c>
      <c r="I7" s="92">
        <v>990</v>
      </c>
      <c r="J7" s="151">
        <v>971</v>
      </c>
      <c r="K7" s="92">
        <v>20959</v>
      </c>
      <c r="L7" s="92">
        <v>19963</v>
      </c>
      <c r="M7" s="151">
        <v>20287</v>
      </c>
      <c r="N7" s="152">
        <f t="shared" ref="N7:N13" si="1">E7/B7*100</f>
        <v>0.85189309576837424</v>
      </c>
      <c r="O7" s="152">
        <f t="shared" ref="O7:O13" si="2">F7/C7*100</f>
        <v>0.71771686917208255</v>
      </c>
      <c r="P7" s="152">
        <f t="shared" ref="P7:P13" si="3">G7/D7*100</f>
        <v>0.62576143537490303</v>
      </c>
      <c r="Q7" s="27"/>
      <c r="R7" s="27"/>
      <c r="S7" s="27"/>
      <c r="T7" s="27"/>
      <c r="U7" s="27"/>
      <c r="V7" s="27"/>
      <c r="W7" s="27"/>
      <c r="X7" s="27"/>
      <c r="Y7" s="27"/>
      <c r="Z7" s="27"/>
      <c r="AA7" s="27"/>
    </row>
    <row r="8" spans="1:27" ht="17.100000000000001" customHeight="1" x14ac:dyDescent="0.25">
      <c r="A8" s="24" t="s">
        <v>73</v>
      </c>
      <c r="B8" s="91">
        <v>1002</v>
      </c>
      <c r="C8" s="92">
        <v>956</v>
      </c>
      <c r="D8" s="151">
        <v>978</v>
      </c>
      <c r="E8" s="92">
        <v>25</v>
      </c>
      <c r="F8" s="92">
        <v>18</v>
      </c>
      <c r="G8" s="151">
        <v>23</v>
      </c>
      <c r="H8" s="92">
        <v>132</v>
      </c>
      <c r="I8" s="92">
        <v>126</v>
      </c>
      <c r="J8" s="151">
        <v>144</v>
      </c>
      <c r="K8" s="92">
        <v>1227</v>
      </c>
      <c r="L8" s="92">
        <v>1056</v>
      </c>
      <c r="M8" s="151">
        <v>1097</v>
      </c>
      <c r="N8" s="152">
        <f t="shared" si="1"/>
        <v>2.4950099800399204</v>
      </c>
      <c r="O8" s="152">
        <f t="shared" si="2"/>
        <v>1.882845188284519</v>
      </c>
      <c r="P8" s="152">
        <f t="shared" si="3"/>
        <v>2.3517382413087935</v>
      </c>
      <c r="Q8" s="27"/>
      <c r="R8" s="27"/>
      <c r="S8" s="27"/>
      <c r="T8" s="27"/>
      <c r="U8" s="27"/>
      <c r="V8" s="27"/>
      <c r="W8" s="27"/>
      <c r="X8" s="27"/>
      <c r="Y8" s="27"/>
      <c r="Z8" s="27"/>
      <c r="AA8" s="27"/>
    </row>
    <row r="9" spans="1:27" ht="17.100000000000001" customHeight="1" x14ac:dyDescent="0.25">
      <c r="A9" s="24" t="s">
        <v>74</v>
      </c>
      <c r="B9" s="91">
        <v>4721</v>
      </c>
      <c r="C9" s="92">
        <v>5397</v>
      </c>
      <c r="D9" s="151">
        <v>5587</v>
      </c>
      <c r="E9" s="92">
        <v>111</v>
      </c>
      <c r="F9" s="92">
        <v>131</v>
      </c>
      <c r="G9" s="151">
        <v>109</v>
      </c>
      <c r="H9" s="92">
        <v>440</v>
      </c>
      <c r="I9" s="92">
        <v>580</v>
      </c>
      <c r="J9" s="151">
        <v>611</v>
      </c>
      <c r="K9" s="92">
        <v>6129</v>
      </c>
      <c r="L9" s="92">
        <v>6729</v>
      </c>
      <c r="M9" s="151">
        <v>6978</v>
      </c>
      <c r="N9" s="152">
        <f t="shared" si="1"/>
        <v>2.3511967803431477</v>
      </c>
      <c r="O9" s="152">
        <f t="shared" si="2"/>
        <v>2.4272744117102096</v>
      </c>
      <c r="P9" s="152">
        <f t="shared" si="3"/>
        <v>1.950957580096653</v>
      </c>
      <c r="Q9" s="27"/>
      <c r="R9" s="27"/>
      <c r="S9" s="27"/>
      <c r="T9" s="27"/>
      <c r="U9" s="27"/>
      <c r="V9" s="27"/>
      <c r="W9" s="27"/>
      <c r="X9" s="27"/>
      <c r="Y9" s="27"/>
      <c r="Z9" s="27"/>
      <c r="AA9" s="27"/>
    </row>
    <row r="10" spans="1:27" ht="17.100000000000001" customHeight="1" x14ac:dyDescent="0.25">
      <c r="A10" s="24" t="s">
        <v>76</v>
      </c>
      <c r="B10" s="91">
        <v>286</v>
      </c>
      <c r="C10" s="92">
        <v>380</v>
      </c>
      <c r="D10" s="151">
        <v>373</v>
      </c>
      <c r="E10" s="92">
        <v>5</v>
      </c>
      <c r="F10" s="92">
        <v>5</v>
      </c>
      <c r="G10" s="151">
        <v>8</v>
      </c>
      <c r="H10" s="92">
        <v>30</v>
      </c>
      <c r="I10" s="92">
        <v>47</v>
      </c>
      <c r="J10" s="151">
        <v>73</v>
      </c>
      <c r="K10" s="92">
        <v>366</v>
      </c>
      <c r="L10" s="92">
        <v>466</v>
      </c>
      <c r="M10" s="151">
        <v>463</v>
      </c>
      <c r="N10" s="152">
        <f t="shared" si="1"/>
        <v>1.7482517482517483</v>
      </c>
      <c r="O10" s="152">
        <f t="shared" si="2"/>
        <v>1.3157894736842104</v>
      </c>
      <c r="P10" s="152">
        <f t="shared" si="3"/>
        <v>2.1447721179624666</v>
      </c>
      <c r="Q10" s="27"/>
      <c r="R10" s="27"/>
      <c r="S10" s="27"/>
      <c r="T10" s="27"/>
      <c r="U10" s="27"/>
      <c r="V10" s="27"/>
      <c r="W10" s="27"/>
      <c r="X10" s="27"/>
      <c r="Y10" s="27"/>
      <c r="Z10" s="27"/>
      <c r="AA10" s="27"/>
    </row>
    <row r="11" spans="1:27" ht="17.100000000000001" customHeight="1" x14ac:dyDescent="0.25">
      <c r="A11" s="24" t="s">
        <v>79</v>
      </c>
      <c r="B11" s="91">
        <v>685</v>
      </c>
      <c r="C11" s="92">
        <v>653</v>
      </c>
      <c r="D11" s="151">
        <v>676</v>
      </c>
      <c r="E11" s="92">
        <v>20</v>
      </c>
      <c r="F11" s="92">
        <v>20</v>
      </c>
      <c r="G11" s="151">
        <v>14</v>
      </c>
      <c r="H11" s="92">
        <v>68</v>
      </c>
      <c r="I11" s="92">
        <v>53</v>
      </c>
      <c r="J11" s="151">
        <v>51</v>
      </c>
      <c r="K11" s="92">
        <v>900</v>
      </c>
      <c r="L11" s="92">
        <v>819</v>
      </c>
      <c r="M11" s="151">
        <v>880</v>
      </c>
      <c r="N11" s="152">
        <f t="shared" si="1"/>
        <v>2.9197080291970803</v>
      </c>
      <c r="O11" s="152">
        <f t="shared" si="2"/>
        <v>3.0627871362940278</v>
      </c>
      <c r="P11" s="152">
        <f t="shared" si="3"/>
        <v>2.0710059171597637</v>
      </c>
      <c r="Q11" s="27"/>
      <c r="R11" s="27"/>
      <c r="S11" s="27"/>
      <c r="T11" s="27"/>
      <c r="U11" s="27"/>
      <c r="V11" s="27"/>
      <c r="W11" s="27"/>
      <c r="X11" s="27"/>
      <c r="Y11" s="27"/>
      <c r="Z11" s="27"/>
      <c r="AA11" s="27"/>
    </row>
    <row r="12" spans="1:27" ht="17.100000000000001" customHeight="1" x14ac:dyDescent="0.25">
      <c r="A12" s="24" t="s">
        <v>81</v>
      </c>
      <c r="B12" s="91">
        <v>180</v>
      </c>
      <c r="C12" s="92">
        <v>181</v>
      </c>
      <c r="D12" s="151">
        <v>165</v>
      </c>
      <c r="E12" s="92">
        <v>10</v>
      </c>
      <c r="F12" s="92">
        <v>1</v>
      </c>
      <c r="G12" s="151">
        <v>13</v>
      </c>
      <c r="H12" s="92">
        <v>22</v>
      </c>
      <c r="I12" s="92">
        <v>19</v>
      </c>
      <c r="J12" s="151">
        <v>18</v>
      </c>
      <c r="K12" s="92">
        <v>234</v>
      </c>
      <c r="L12" s="92">
        <v>241</v>
      </c>
      <c r="M12" s="151">
        <v>226</v>
      </c>
      <c r="N12" s="152">
        <f t="shared" si="1"/>
        <v>5.5555555555555554</v>
      </c>
      <c r="O12" s="152">
        <f t="shared" si="2"/>
        <v>0.55248618784530379</v>
      </c>
      <c r="P12" s="152">
        <f t="shared" si="3"/>
        <v>7.878787878787878</v>
      </c>
      <c r="Q12" s="27"/>
      <c r="R12" s="27"/>
      <c r="S12" s="27"/>
      <c r="T12" s="27"/>
      <c r="U12" s="27"/>
      <c r="V12" s="27"/>
      <c r="W12" s="27"/>
      <c r="X12" s="27"/>
      <c r="Y12" s="27"/>
      <c r="Z12" s="27"/>
      <c r="AA12" s="27"/>
    </row>
    <row r="13" spans="1:27" ht="17.100000000000001" customHeight="1" x14ac:dyDescent="0.25">
      <c r="A13" s="24" t="s">
        <v>70</v>
      </c>
      <c r="B13" s="91">
        <v>1161</v>
      </c>
      <c r="C13" s="92">
        <v>1443</v>
      </c>
      <c r="D13" s="151">
        <v>1429</v>
      </c>
      <c r="E13" s="92">
        <v>31</v>
      </c>
      <c r="F13" s="92">
        <v>38</v>
      </c>
      <c r="G13" s="151">
        <v>23</v>
      </c>
      <c r="H13" s="92">
        <v>138</v>
      </c>
      <c r="I13" s="92">
        <v>165</v>
      </c>
      <c r="J13" s="151">
        <v>147</v>
      </c>
      <c r="K13" s="92">
        <v>1342</v>
      </c>
      <c r="L13" s="92">
        <v>1602</v>
      </c>
      <c r="M13" s="151">
        <v>1652</v>
      </c>
      <c r="N13" s="152">
        <f t="shared" si="1"/>
        <v>2.6701119724375539</v>
      </c>
      <c r="O13" s="152">
        <f t="shared" si="2"/>
        <v>2.6334026334026333</v>
      </c>
      <c r="P13" s="152">
        <f t="shared" si="3"/>
        <v>1.6095171448565431</v>
      </c>
      <c r="Q13" s="27"/>
      <c r="R13" s="27"/>
      <c r="S13" s="27"/>
      <c r="T13" s="27"/>
      <c r="U13" s="27"/>
      <c r="V13" s="27"/>
      <c r="W13" s="27"/>
      <c r="X13" s="27"/>
      <c r="Y13" s="27"/>
      <c r="Z13" s="27"/>
      <c r="AA13" s="27"/>
    </row>
    <row r="14" spans="1:27" ht="17.100000000000001" customHeight="1" thickBot="1" x14ac:dyDescent="0.3">
      <c r="A14" s="11" t="s">
        <v>35</v>
      </c>
      <c r="B14" s="131">
        <f t="shared" ref="B14:M14" si="4">SUM(B6:B13)</f>
        <v>27470</v>
      </c>
      <c r="C14" s="132">
        <f t="shared" si="4"/>
        <v>28256</v>
      </c>
      <c r="D14" s="132">
        <f t="shared" si="4"/>
        <v>28975</v>
      </c>
      <c r="E14" s="131">
        <f t="shared" si="4"/>
        <v>399</v>
      </c>
      <c r="F14" s="132">
        <f t="shared" si="4"/>
        <v>372</v>
      </c>
      <c r="G14" s="143">
        <f t="shared" si="4"/>
        <v>337</v>
      </c>
      <c r="H14" s="132">
        <f t="shared" si="4"/>
        <v>1946</v>
      </c>
      <c r="I14" s="132">
        <f t="shared" si="4"/>
        <v>2089</v>
      </c>
      <c r="J14" s="132">
        <f t="shared" si="4"/>
        <v>2161</v>
      </c>
      <c r="K14" s="131">
        <f t="shared" si="4"/>
        <v>33302</v>
      </c>
      <c r="L14" s="132">
        <f t="shared" si="4"/>
        <v>33046</v>
      </c>
      <c r="M14" s="143">
        <f t="shared" si="4"/>
        <v>33976</v>
      </c>
      <c r="N14" s="145">
        <f t="shared" ref="N14" si="5">E14/B14*100</f>
        <v>1.4524936294139061</v>
      </c>
      <c r="O14" s="145">
        <f t="shared" ref="O14:P14" si="6">F14/C14*100</f>
        <v>1.3165345413363534</v>
      </c>
      <c r="P14" s="145">
        <f t="shared" si="6"/>
        <v>1.1630716134598791</v>
      </c>
      <c r="Q14" s="27"/>
      <c r="R14" s="27"/>
      <c r="S14" s="27"/>
      <c r="T14" s="27"/>
      <c r="U14" s="27"/>
      <c r="V14" s="27"/>
      <c r="W14" s="27"/>
      <c r="X14" s="27"/>
      <c r="Y14" s="27"/>
      <c r="Z14" s="27"/>
      <c r="AA14" s="27"/>
    </row>
    <row r="15" spans="1:27" ht="13.5" customHeight="1" x14ac:dyDescent="0.25">
      <c r="A15" s="274" t="s">
        <v>173</v>
      </c>
      <c r="B15" s="274"/>
      <c r="C15" s="274"/>
      <c r="D15" s="274"/>
      <c r="E15" s="274"/>
      <c r="F15" s="274"/>
      <c r="G15" s="27"/>
      <c r="H15" s="27"/>
      <c r="I15" s="27"/>
      <c r="J15" s="27"/>
      <c r="K15" s="27"/>
      <c r="L15" s="27"/>
      <c r="M15" s="27"/>
      <c r="N15" s="27"/>
      <c r="O15" s="27"/>
      <c r="P15" s="27"/>
      <c r="Q15" s="27"/>
      <c r="R15" s="27"/>
      <c r="S15" s="27"/>
      <c r="T15" s="27"/>
      <c r="U15" s="27"/>
      <c r="V15" s="27"/>
      <c r="W15" s="27"/>
      <c r="X15" s="27"/>
      <c r="Y15" s="27"/>
      <c r="Z15" s="27"/>
      <c r="AA15" s="27"/>
    </row>
    <row r="16" spans="1:27" ht="18.95" customHeight="1" x14ac:dyDescent="0.2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spans="1:27" ht="21" customHeight="1" x14ac:dyDescent="0.25">
      <c r="A17" s="46" t="s">
        <v>199</v>
      </c>
      <c r="B17" s="48"/>
      <c r="C17" s="48"/>
      <c r="D17" s="48"/>
      <c r="E17" s="27"/>
      <c r="F17" s="27"/>
      <c r="G17" s="27"/>
      <c r="H17" s="27"/>
      <c r="I17" s="27"/>
      <c r="J17" s="27"/>
      <c r="K17" s="27"/>
      <c r="L17" s="27"/>
      <c r="M17" s="27"/>
      <c r="N17" s="27"/>
      <c r="O17" s="27"/>
      <c r="P17" s="27"/>
      <c r="Q17" s="27"/>
      <c r="R17" s="27"/>
      <c r="S17" s="27"/>
      <c r="T17" s="27"/>
      <c r="U17" s="27"/>
      <c r="V17" s="27"/>
      <c r="W17" s="27"/>
      <c r="X17" s="27"/>
      <c r="Y17" s="27"/>
      <c r="Z17" s="27"/>
      <c r="AA17" s="27"/>
    </row>
    <row r="18" spans="1:27" ht="18.95" customHeight="1" thickBot="1" x14ac:dyDescent="0.3">
      <c r="A18" s="48"/>
      <c r="B18" s="48"/>
      <c r="C18" s="48"/>
      <c r="D18" s="48"/>
      <c r="E18" s="27"/>
      <c r="F18" s="27"/>
      <c r="G18" s="27"/>
      <c r="H18" s="27"/>
      <c r="I18" s="27"/>
      <c r="J18" s="27"/>
      <c r="K18" s="27"/>
      <c r="L18" s="27"/>
      <c r="M18" s="27"/>
      <c r="N18" s="27"/>
      <c r="O18" s="27"/>
      <c r="P18" s="27"/>
      <c r="Q18" s="27"/>
      <c r="R18" s="27"/>
      <c r="S18" s="27"/>
      <c r="T18" s="27"/>
      <c r="U18" s="27"/>
      <c r="V18" s="27"/>
      <c r="W18" s="27"/>
      <c r="X18" s="27"/>
      <c r="Y18" s="27"/>
      <c r="Z18" s="27"/>
      <c r="AA18" s="27"/>
    </row>
    <row r="19" spans="1:27" ht="18.95" customHeight="1" x14ac:dyDescent="0.25">
      <c r="A19" s="271" t="str">
        <f>+'1'!A4</f>
        <v>Janeiro-setembro</v>
      </c>
      <c r="B19" s="259" t="s">
        <v>6</v>
      </c>
      <c r="C19" s="260"/>
      <c r="D19" s="261"/>
      <c r="E19" s="260" t="s">
        <v>31</v>
      </c>
      <c r="F19" s="260"/>
      <c r="G19" s="260"/>
      <c r="H19" s="259" t="s">
        <v>18</v>
      </c>
      <c r="I19" s="260"/>
      <c r="J19" s="261"/>
      <c r="K19" s="260" t="s">
        <v>20</v>
      </c>
      <c r="L19" s="260"/>
      <c r="M19" s="260"/>
      <c r="N19" s="259" t="s">
        <v>24</v>
      </c>
      <c r="O19" s="260"/>
      <c r="P19" s="260"/>
      <c r="Q19" s="27"/>
      <c r="R19" s="27"/>
      <c r="S19" s="27"/>
      <c r="T19" s="27"/>
      <c r="U19" s="27"/>
      <c r="V19" s="27"/>
      <c r="W19" s="27"/>
      <c r="X19" s="27"/>
      <c r="Y19" s="27"/>
      <c r="Z19" s="27"/>
      <c r="AA19" s="27"/>
    </row>
    <row r="20" spans="1:27" ht="18.95" customHeight="1" x14ac:dyDescent="0.25">
      <c r="A20" s="271"/>
      <c r="B20" s="273" t="s">
        <v>146</v>
      </c>
      <c r="C20" s="272"/>
      <c r="D20" s="272"/>
      <c r="E20" s="272"/>
      <c r="F20" s="272"/>
      <c r="G20" s="272"/>
      <c r="H20" s="272"/>
      <c r="I20" s="272"/>
      <c r="J20" s="272"/>
      <c r="K20" s="272"/>
      <c r="L20" s="272"/>
      <c r="M20" s="272"/>
      <c r="N20" s="272"/>
      <c r="O20" s="272"/>
      <c r="P20" s="272"/>
      <c r="Q20" s="27"/>
      <c r="R20" s="27"/>
      <c r="S20" s="27"/>
      <c r="T20" s="27"/>
      <c r="U20" s="27"/>
      <c r="V20" s="27"/>
      <c r="W20" s="27"/>
      <c r="X20" s="27"/>
      <c r="Y20" s="27"/>
      <c r="Z20" s="27"/>
      <c r="AA20" s="27"/>
    </row>
    <row r="21" spans="1:27" ht="18.95" customHeight="1" x14ac:dyDescent="0.25">
      <c r="A21" s="5"/>
      <c r="B21" s="32" t="s">
        <v>178</v>
      </c>
      <c r="C21" s="32" t="s">
        <v>179</v>
      </c>
      <c r="D21" s="32"/>
      <c r="E21" s="32" t="s">
        <v>178</v>
      </c>
      <c r="F21" s="32" t="s">
        <v>179</v>
      </c>
      <c r="G21" s="33"/>
      <c r="H21" s="32" t="s">
        <v>178</v>
      </c>
      <c r="I21" s="32" t="s">
        <v>179</v>
      </c>
      <c r="J21" s="33"/>
      <c r="K21" s="32" t="s">
        <v>178</v>
      </c>
      <c r="L21" s="32" t="s">
        <v>179</v>
      </c>
      <c r="M21" s="55"/>
      <c r="N21" s="32" t="s">
        <v>178</v>
      </c>
      <c r="O21" s="32" t="s">
        <v>179</v>
      </c>
      <c r="P21" s="33"/>
      <c r="Q21" s="27"/>
      <c r="R21" s="27"/>
      <c r="S21" s="27"/>
      <c r="T21" s="27"/>
      <c r="U21" s="27"/>
      <c r="V21" s="27"/>
      <c r="W21" s="27"/>
      <c r="X21" s="27"/>
      <c r="Y21" s="27"/>
      <c r="Z21" s="27"/>
      <c r="AA21" s="27"/>
    </row>
    <row r="22" spans="1:27" ht="17.100000000000001" customHeight="1" x14ac:dyDescent="0.25">
      <c r="A22" s="24" t="s">
        <v>71</v>
      </c>
      <c r="B22" s="117">
        <f>(D6/B6)-1</f>
        <v>0.15864406779661011</v>
      </c>
      <c r="C22" s="118">
        <f>(D6/C6)-1</f>
        <v>0.10186976144422943</v>
      </c>
      <c r="D22" s="153"/>
      <c r="E22" s="121">
        <f>(G6/E6)-1</f>
        <v>-0.22727272727272729</v>
      </c>
      <c r="F22" s="121">
        <f>(G6/F6)-1</f>
        <v>6.25E-2</v>
      </c>
      <c r="G22" s="154"/>
      <c r="H22" s="117">
        <f>(J6/H6)-1</f>
        <v>0.21666666666666656</v>
      </c>
      <c r="I22" s="118">
        <f>(J6/I6)-1</f>
        <v>0.33944954128440363</v>
      </c>
      <c r="J22" s="153"/>
      <c r="K22" s="121">
        <f>(M6/K6)-1</f>
        <v>0.11561771561771561</v>
      </c>
      <c r="L22" s="121">
        <f>(M6/L6)-1</f>
        <v>0.10276497695852527</v>
      </c>
      <c r="M22" s="155"/>
      <c r="N22" s="156">
        <f>(P6/N6)-1</f>
        <v>-0.33307622745890741</v>
      </c>
      <c r="O22" s="157">
        <f>(P6/O6)-1</f>
        <v>-3.572995904037457E-2</v>
      </c>
      <c r="P22" s="49"/>
      <c r="Q22" s="27"/>
      <c r="R22" s="27"/>
      <c r="S22" s="27"/>
      <c r="T22" s="27"/>
      <c r="U22" s="27"/>
      <c r="V22" s="27"/>
      <c r="W22" s="27"/>
      <c r="X22" s="27"/>
      <c r="Y22" s="27"/>
      <c r="Z22" s="27"/>
      <c r="AA22" s="27"/>
    </row>
    <row r="23" spans="1:27" ht="17.100000000000001" customHeight="1" x14ac:dyDescent="0.25">
      <c r="A23" s="24" t="s">
        <v>143</v>
      </c>
      <c r="B23" s="120">
        <f t="shared" ref="B23:B30" si="7">(D7/B7)-1</f>
        <v>5.4565701559019519E-3</v>
      </c>
      <c r="C23" s="121">
        <f t="shared" ref="C23:C30" si="8">(D7/C7)-1</f>
        <v>2.0514269567674548E-2</v>
      </c>
      <c r="D23" s="158"/>
      <c r="E23" s="121">
        <f t="shared" ref="E23:E30" si="9">(G7/E7)-1</f>
        <v>-0.26143790849673199</v>
      </c>
      <c r="F23" s="121">
        <f t="shared" ref="F23:F30" si="10">(G7/F7)-1</f>
        <v>-0.11023622047244097</v>
      </c>
      <c r="G23" s="154"/>
      <c r="H23" s="120">
        <f t="shared" ref="H23:H30" si="11">(J7/H7)-1</f>
        <v>-2.5100401606425682E-2</v>
      </c>
      <c r="I23" s="121">
        <f t="shared" ref="I23:I30" si="12">(J7/I7)-1</f>
        <v>-1.9191919191919204E-2</v>
      </c>
      <c r="J23" s="158"/>
      <c r="K23" s="121">
        <f t="shared" ref="K23:K30" si="13">(M7/K7)-1</f>
        <v>-3.2062598406412568E-2</v>
      </c>
      <c r="L23" s="121">
        <f t="shared" ref="L23:L30" si="14">(M7/L7)-1</f>
        <v>1.6230025547262494E-2</v>
      </c>
      <c r="M23" s="155"/>
      <c r="N23" s="159">
        <f t="shared" ref="N23:N30" si="15">(P7/N7)-1</f>
        <v>-0.26544605363834917</v>
      </c>
      <c r="O23" s="160">
        <f t="shared" ref="O23:O30" si="16">(P7/O7)-1</f>
        <v>-0.12812215756229062</v>
      </c>
      <c r="P23" s="49"/>
      <c r="Q23" s="27"/>
      <c r="R23" s="27"/>
      <c r="S23" s="27"/>
      <c r="T23" s="27"/>
      <c r="U23" s="27"/>
      <c r="V23" s="27"/>
      <c r="W23" s="27"/>
      <c r="X23" s="27"/>
      <c r="Y23" s="27"/>
      <c r="Z23" s="27"/>
      <c r="AA23" s="27"/>
    </row>
    <row r="24" spans="1:27" ht="17.100000000000001" customHeight="1" x14ac:dyDescent="0.25">
      <c r="A24" s="24" t="s">
        <v>73</v>
      </c>
      <c r="B24" s="120">
        <f t="shared" si="7"/>
        <v>-2.39520958083832E-2</v>
      </c>
      <c r="C24" s="121">
        <f t="shared" si="8"/>
        <v>2.3012552301255207E-2</v>
      </c>
      <c r="D24" s="158"/>
      <c r="E24" s="121">
        <f t="shared" si="9"/>
        <v>-7.999999999999996E-2</v>
      </c>
      <c r="F24" s="121">
        <f t="shared" si="10"/>
        <v>0.27777777777777768</v>
      </c>
      <c r="G24" s="154"/>
      <c r="H24" s="120">
        <f t="shared" si="11"/>
        <v>9.0909090909090828E-2</v>
      </c>
      <c r="I24" s="121">
        <f t="shared" si="12"/>
        <v>0.14285714285714279</v>
      </c>
      <c r="J24" s="158"/>
      <c r="K24" s="121">
        <f t="shared" si="13"/>
        <v>-0.10594947025264878</v>
      </c>
      <c r="L24" s="121">
        <f t="shared" si="14"/>
        <v>3.8825757575757569E-2</v>
      </c>
      <c r="M24" s="155"/>
      <c r="N24" s="159">
        <f t="shared" si="15"/>
        <v>-5.7423312883435607E-2</v>
      </c>
      <c r="O24" s="160">
        <f t="shared" si="16"/>
        <v>0.24903431038400359</v>
      </c>
      <c r="P24" s="49"/>
      <c r="Q24" s="27"/>
      <c r="R24" s="27"/>
      <c r="S24" s="27"/>
      <c r="T24" s="27"/>
      <c r="U24" s="27"/>
      <c r="V24" s="27"/>
      <c r="W24" s="27"/>
      <c r="X24" s="27"/>
      <c r="Y24" s="27"/>
      <c r="Z24" s="27"/>
      <c r="AA24" s="27"/>
    </row>
    <row r="25" spans="1:27" ht="17.100000000000001" customHeight="1" x14ac:dyDescent="0.25">
      <c r="A25" s="24" t="s">
        <v>74</v>
      </c>
      <c r="B25" s="120">
        <f t="shared" si="7"/>
        <v>0.18343571277271775</v>
      </c>
      <c r="C25" s="121">
        <f t="shared" si="8"/>
        <v>3.5204743375949699E-2</v>
      </c>
      <c r="D25" s="158"/>
      <c r="E25" s="121">
        <f t="shared" si="9"/>
        <v>-1.8018018018018056E-2</v>
      </c>
      <c r="F25" s="121">
        <f t="shared" si="10"/>
        <v>-0.16793893129770987</v>
      </c>
      <c r="G25" s="154"/>
      <c r="H25" s="120">
        <f t="shared" si="11"/>
        <v>0.38863636363636367</v>
      </c>
      <c r="I25" s="121">
        <f t="shared" si="12"/>
        <v>5.3448275862068906E-2</v>
      </c>
      <c r="J25" s="158"/>
      <c r="K25" s="121">
        <f t="shared" si="13"/>
        <v>0.13852178169358775</v>
      </c>
      <c r="L25" s="121">
        <f t="shared" si="14"/>
        <v>3.7004012483281334E-2</v>
      </c>
      <c r="M25" s="155"/>
      <c r="N25" s="159">
        <f t="shared" si="15"/>
        <v>-0.17022786165438752</v>
      </c>
      <c r="O25" s="160">
        <f t="shared" si="16"/>
        <v>-0.1962352626120889</v>
      </c>
      <c r="P25" s="49"/>
      <c r="Q25" s="27"/>
      <c r="R25" s="27"/>
      <c r="S25" s="27"/>
      <c r="T25" s="27"/>
      <c r="U25" s="27"/>
      <c r="V25" s="27"/>
      <c r="W25" s="27"/>
      <c r="X25" s="27"/>
      <c r="Y25" s="27"/>
      <c r="Z25" s="27"/>
      <c r="AA25" s="27"/>
    </row>
    <row r="26" spans="1:27" ht="17.100000000000001" customHeight="1" x14ac:dyDescent="0.25">
      <c r="A26" s="24" t="s">
        <v>76</v>
      </c>
      <c r="B26" s="120">
        <f t="shared" si="7"/>
        <v>0.30419580419580416</v>
      </c>
      <c r="C26" s="121">
        <f t="shared" si="8"/>
        <v>-1.8421052631578894E-2</v>
      </c>
      <c r="D26" s="158"/>
      <c r="E26" s="121">
        <f t="shared" si="9"/>
        <v>0.60000000000000009</v>
      </c>
      <c r="F26" s="121">
        <f t="shared" si="10"/>
        <v>0.60000000000000009</v>
      </c>
      <c r="G26" s="154"/>
      <c r="H26" s="120">
        <f t="shared" si="11"/>
        <v>1.4333333333333331</v>
      </c>
      <c r="I26" s="121">
        <f t="shared" si="12"/>
        <v>0.55319148936170204</v>
      </c>
      <c r="J26" s="158"/>
      <c r="K26" s="121">
        <f t="shared" si="13"/>
        <v>0.26502732240437155</v>
      </c>
      <c r="L26" s="121">
        <f t="shared" si="14"/>
        <v>-6.4377682403433667E-3</v>
      </c>
      <c r="M26" s="155"/>
      <c r="N26" s="159">
        <f t="shared" si="15"/>
        <v>0.2268096514745308</v>
      </c>
      <c r="O26" s="160">
        <f t="shared" si="16"/>
        <v>0.63002680965147473</v>
      </c>
      <c r="P26" s="49"/>
      <c r="Q26" s="27"/>
      <c r="R26" s="27"/>
      <c r="S26" s="27"/>
      <c r="T26" s="27"/>
      <c r="U26" s="27"/>
      <c r="V26" s="27"/>
      <c r="W26" s="27"/>
      <c r="X26" s="27"/>
      <c r="Y26" s="27"/>
      <c r="Z26" s="27"/>
      <c r="AA26" s="27"/>
    </row>
    <row r="27" spans="1:27" ht="17.100000000000001" customHeight="1" x14ac:dyDescent="0.25">
      <c r="A27" s="24" t="s">
        <v>79</v>
      </c>
      <c r="B27" s="120">
        <f t="shared" si="7"/>
        <v>-1.3138686131386912E-2</v>
      </c>
      <c r="C27" s="121">
        <f t="shared" si="8"/>
        <v>3.5222052067381382E-2</v>
      </c>
      <c r="D27" s="158"/>
      <c r="E27" s="121">
        <f t="shared" si="9"/>
        <v>-0.30000000000000004</v>
      </c>
      <c r="F27" s="121">
        <f t="shared" si="10"/>
        <v>-0.30000000000000004</v>
      </c>
      <c r="G27" s="154"/>
      <c r="H27" s="120">
        <f t="shared" si="11"/>
        <v>-0.25</v>
      </c>
      <c r="I27" s="121">
        <f t="shared" si="12"/>
        <v>-3.7735849056603765E-2</v>
      </c>
      <c r="J27" s="158"/>
      <c r="K27" s="121">
        <f t="shared" si="13"/>
        <v>-2.2222222222222254E-2</v>
      </c>
      <c r="L27" s="121">
        <f t="shared" si="14"/>
        <v>7.4481074481074439E-2</v>
      </c>
      <c r="M27" s="155"/>
      <c r="N27" s="159">
        <f t="shared" si="15"/>
        <v>-0.29068047337278091</v>
      </c>
      <c r="O27" s="160">
        <f t="shared" si="16"/>
        <v>-0.32381656804733716</v>
      </c>
      <c r="P27" s="49"/>
      <c r="Q27" s="27"/>
      <c r="R27" s="27"/>
      <c r="S27" s="27"/>
      <c r="T27" s="27"/>
      <c r="U27" s="27"/>
      <c r="V27" s="27"/>
      <c r="W27" s="27"/>
      <c r="X27" s="27"/>
      <c r="Y27" s="27"/>
      <c r="Z27" s="27"/>
      <c r="AA27" s="27"/>
    </row>
    <row r="28" spans="1:27" ht="17.100000000000001" customHeight="1" x14ac:dyDescent="0.25">
      <c r="A28" s="24" t="s">
        <v>81</v>
      </c>
      <c r="B28" s="120">
        <f t="shared" si="7"/>
        <v>-8.333333333333337E-2</v>
      </c>
      <c r="C28" s="121">
        <f t="shared" si="8"/>
        <v>-8.8397790055248615E-2</v>
      </c>
      <c r="D28" s="158"/>
      <c r="E28" s="121">
        <f t="shared" si="9"/>
        <v>0.30000000000000004</v>
      </c>
      <c r="F28" s="121" t="s">
        <v>132</v>
      </c>
      <c r="G28" s="154"/>
      <c r="H28" s="120">
        <f t="shared" si="11"/>
        <v>-0.18181818181818177</v>
      </c>
      <c r="I28" s="121">
        <f t="shared" si="12"/>
        <v>-5.2631578947368474E-2</v>
      </c>
      <c r="J28" s="158"/>
      <c r="K28" s="121">
        <f t="shared" si="13"/>
        <v>-3.4188034188034178E-2</v>
      </c>
      <c r="L28" s="121">
        <f t="shared" si="14"/>
        <v>-6.2240663900414939E-2</v>
      </c>
      <c r="M28" s="155"/>
      <c r="N28" s="159">
        <f t="shared" si="15"/>
        <v>0.41818181818181799</v>
      </c>
      <c r="O28" s="160" t="s">
        <v>132</v>
      </c>
      <c r="P28" s="49"/>
      <c r="Q28" s="27"/>
      <c r="R28" s="27"/>
      <c r="S28" s="27"/>
      <c r="T28" s="27"/>
      <c r="U28" s="27"/>
      <c r="V28" s="27"/>
      <c r="W28" s="27"/>
      <c r="X28" s="27"/>
      <c r="Y28" s="27"/>
      <c r="Z28" s="27"/>
      <c r="AA28" s="27"/>
    </row>
    <row r="29" spans="1:27" ht="17.100000000000001" customHeight="1" x14ac:dyDescent="0.25">
      <c r="A29" s="24" t="s">
        <v>70</v>
      </c>
      <c r="B29" s="120">
        <f t="shared" si="7"/>
        <v>0.2308354866494402</v>
      </c>
      <c r="C29" s="121">
        <f t="shared" si="8"/>
        <v>-9.7020097020097396E-3</v>
      </c>
      <c r="D29" s="158"/>
      <c r="E29" s="121">
        <f t="shared" si="9"/>
        <v>-0.25806451612903225</v>
      </c>
      <c r="F29" s="121">
        <f t="shared" si="10"/>
        <v>-0.39473684210526316</v>
      </c>
      <c r="G29" s="154"/>
      <c r="H29" s="120">
        <f t="shared" si="11"/>
        <v>6.5217391304347894E-2</v>
      </c>
      <c r="I29" s="121">
        <f t="shared" si="12"/>
        <v>-0.10909090909090913</v>
      </c>
      <c r="J29" s="158"/>
      <c r="K29" s="121">
        <f t="shared" si="13"/>
        <v>0.23099850968703417</v>
      </c>
      <c r="L29" s="121">
        <f t="shared" si="14"/>
        <v>3.1210986267166119E-2</v>
      </c>
      <c r="M29" s="155"/>
      <c r="N29" s="159">
        <f t="shared" si="15"/>
        <v>-0.39720986929727531</v>
      </c>
      <c r="O29" s="160">
        <f t="shared" si="16"/>
        <v>-0.38880704209789685</v>
      </c>
      <c r="P29" s="49"/>
      <c r="Q29" s="27"/>
      <c r="R29" s="27"/>
      <c r="S29" s="27"/>
      <c r="T29" s="27"/>
      <c r="U29" s="27"/>
      <c r="V29" s="27"/>
      <c r="W29" s="27"/>
      <c r="X29" s="27"/>
      <c r="Y29" s="27"/>
      <c r="Z29" s="27"/>
      <c r="AA29" s="27"/>
    </row>
    <row r="30" spans="1:27" ht="17.100000000000001" customHeight="1" thickBot="1" x14ac:dyDescent="0.3">
      <c r="A30" s="11" t="s">
        <v>35</v>
      </c>
      <c r="B30" s="123">
        <f t="shared" si="7"/>
        <v>5.4787040407717535E-2</v>
      </c>
      <c r="C30" s="124">
        <f t="shared" si="8"/>
        <v>2.5445922989807412E-2</v>
      </c>
      <c r="D30" s="161"/>
      <c r="E30" s="124">
        <f t="shared" si="9"/>
        <v>-0.15538847117794485</v>
      </c>
      <c r="F30" s="124">
        <f t="shared" si="10"/>
        <v>-9.4086021505376372E-2</v>
      </c>
      <c r="G30" s="162"/>
      <c r="H30" s="123">
        <f t="shared" si="11"/>
        <v>0.11048304213771831</v>
      </c>
      <c r="I30" s="124">
        <f t="shared" si="12"/>
        <v>3.4466251795117309E-2</v>
      </c>
      <c r="J30" s="161"/>
      <c r="K30" s="124">
        <f t="shared" si="13"/>
        <v>2.0239024683202267E-2</v>
      </c>
      <c r="L30" s="124">
        <f t="shared" si="14"/>
        <v>2.814258911819878E-2</v>
      </c>
      <c r="M30" s="163"/>
      <c r="N30" s="164">
        <f t="shared" si="15"/>
        <v>-0.19925871624704572</v>
      </c>
      <c r="O30" s="165">
        <f t="shared" si="16"/>
        <v>-0.11656581962574353</v>
      </c>
      <c r="P30" s="50"/>
      <c r="Q30" s="27"/>
      <c r="R30" s="27"/>
      <c r="S30" s="27"/>
      <c r="T30" s="27"/>
      <c r="U30" s="27"/>
      <c r="V30" s="27"/>
      <c r="W30" s="27"/>
      <c r="X30" s="27"/>
      <c r="Y30" s="27"/>
      <c r="Z30" s="27"/>
      <c r="AA30" s="27"/>
    </row>
    <row r="31" spans="1:27" x14ac:dyDescent="0.25">
      <c r="A31" s="274" t="s">
        <v>173</v>
      </c>
      <c r="B31" s="274"/>
      <c r="C31" s="274"/>
      <c r="D31" s="274"/>
      <c r="E31" s="274"/>
      <c r="F31" s="274"/>
      <c r="G31" s="27"/>
      <c r="H31" s="27"/>
      <c r="I31" s="27"/>
      <c r="J31" s="27"/>
      <c r="K31" s="27"/>
      <c r="L31" s="27"/>
      <c r="M31" s="27"/>
      <c r="N31" s="27"/>
      <c r="O31" s="27"/>
      <c r="P31" s="27"/>
      <c r="Q31" s="27"/>
      <c r="R31" s="27"/>
      <c r="S31" s="27"/>
      <c r="T31" s="27"/>
      <c r="U31" s="27"/>
      <c r="V31" s="27"/>
      <c r="W31" s="27"/>
      <c r="X31" s="27"/>
      <c r="Y31" s="27"/>
      <c r="Z31" s="27"/>
      <c r="AA31" s="27"/>
    </row>
    <row r="32" spans="1:27"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spans="1:27"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spans="1:27"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spans="1:27"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7" spans="1:27" x14ac:dyDescent="0.25">
      <c r="G37" s="27"/>
    </row>
    <row r="48" spans="1:27" x14ac:dyDescent="0.25">
      <c r="I48" s="27"/>
    </row>
  </sheetData>
  <mergeCells count="15">
    <mergeCell ref="A31:F31"/>
    <mergeCell ref="N19:P19"/>
    <mergeCell ref="B20:P20"/>
    <mergeCell ref="N4:P4"/>
    <mergeCell ref="K4:M4"/>
    <mergeCell ref="A4:A5"/>
    <mergeCell ref="B4:D4"/>
    <mergeCell ref="E4:G4"/>
    <mergeCell ref="H4:J4"/>
    <mergeCell ref="B19:D19"/>
    <mergeCell ref="E19:G19"/>
    <mergeCell ref="H19:J19"/>
    <mergeCell ref="K19:M19"/>
    <mergeCell ref="A19:A20"/>
    <mergeCell ref="A15:F15"/>
  </mergeCells>
  <printOptions horizontalCentered="1"/>
  <pageMargins left="0.23622047244094491" right="0.23622047244094491" top="0.74803149606299213" bottom="0.74803149606299213" header="0.31496062992125984" footer="0.31496062992125984"/>
  <pageSetup paperSize="9" scale="72" orientation="portrait" verticalDpi="0" r:id="rId1"/>
  <ignoredErrors>
    <ignoredError sqref="B14:C14 K14:L14 H14:I14 E14:F14 D14 G14 J14 M14"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158A-04F4-4A77-9F10-98807B663144}">
  <sheetPr>
    <pageSetUpPr fitToPage="1"/>
  </sheetPr>
  <dimension ref="A1:AA50"/>
  <sheetViews>
    <sheetView showGridLines="0" zoomScaleNormal="100" workbookViewId="0"/>
  </sheetViews>
  <sheetFormatPr defaultColWidth="9.140625" defaultRowHeight="12" x14ac:dyDescent="0.2"/>
  <cols>
    <col min="1" max="1" width="18.7109375" style="3" customWidth="1"/>
    <col min="2" max="13" width="7.85546875" style="3" customWidth="1"/>
    <col min="14" max="14" width="3.42578125" style="3" customWidth="1"/>
    <col min="15" max="16384" width="9.140625" style="3"/>
  </cols>
  <sheetData>
    <row r="1" spans="1:27" ht="5.25" customHeight="1" x14ac:dyDescent="0.2"/>
    <row r="2" spans="1:27" ht="18.95" customHeight="1" x14ac:dyDescent="0.25">
      <c r="A2" s="13" t="s">
        <v>200</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57" t="str">
        <f>+'1'!A4</f>
        <v>Janeiro-setembro</v>
      </c>
      <c r="B4" s="259" t="s">
        <v>6</v>
      </c>
      <c r="C4" s="260"/>
      <c r="D4" s="261"/>
      <c r="E4" s="260" t="s">
        <v>31</v>
      </c>
      <c r="F4" s="260"/>
      <c r="G4" s="260"/>
      <c r="H4" s="262" t="s">
        <v>18</v>
      </c>
      <c r="I4" s="260"/>
      <c r="J4" s="263"/>
      <c r="K4" s="260" t="s">
        <v>20</v>
      </c>
      <c r="L4" s="260"/>
      <c r="M4" s="260"/>
      <c r="N4" s="1"/>
      <c r="O4" s="1"/>
      <c r="P4" s="1"/>
      <c r="Q4" s="1"/>
      <c r="R4" s="1"/>
      <c r="S4" s="1"/>
      <c r="T4" s="1"/>
      <c r="U4" s="1"/>
      <c r="V4" s="1"/>
      <c r="W4" s="1"/>
      <c r="X4" s="1"/>
      <c r="Y4" s="1"/>
      <c r="Z4" s="1"/>
      <c r="AA4" s="1"/>
    </row>
    <row r="5" spans="1:27" ht="30" customHeight="1" x14ac:dyDescent="0.2">
      <c r="A5" s="258"/>
      <c r="B5" s="42">
        <v>2024</v>
      </c>
      <c r="C5" s="43">
        <v>2025</v>
      </c>
      <c r="D5" s="44" t="s">
        <v>177</v>
      </c>
      <c r="E5" s="42">
        <v>2024</v>
      </c>
      <c r="F5" s="43">
        <v>2025</v>
      </c>
      <c r="G5" s="44" t="s">
        <v>177</v>
      </c>
      <c r="H5" s="42">
        <v>2024</v>
      </c>
      <c r="I5" s="43">
        <v>2025</v>
      </c>
      <c r="J5" s="44" t="s">
        <v>177</v>
      </c>
      <c r="K5" s="42">
        <v>2024</v>
      </c>
      <c r="L5" s="43">
        <v>2025</v>
      </c>
      <c r="M5" s="44" t="s">
        <v>177</v>
      </c>
      <c r="N5" s="1"/>
      <c r="O5" s="1"/>
      <c r="P5" s="1"/>
      <c r="Q5" s="1"/>
      <c r="R5" s="1"/>
      <c r="S5" s="1"/>
      <c r="T5" s="1"/>
      <c r="U5" s="1"/>
      <c r="V5" s="1"/>
      <c r="W5" s="1"/>
      <c r="X5" s="1"/>
      <c r="Y5" s="1"/>
      <c r="Z5" s="1"/>
      <c r="AA5" s="1"/>
    </row>
    <row r="6" spans="1:27" ht="17.100000000000001" customHeight="1" x14ac:dyDescent="0.2">
      <c r="A6" s="24" t="s">
        <v>83</v>
      </c>
      <c r="B6" s="135">
        <v>2158</v>
      </c>
      <c r="C6" s="136">
        <v>2184</v>
      </c>
      <c r="D6" s="137">
        <f>(C6/B6)-1</f>
        <v>1.2048192771084265E-2</v>
      </c>
      <c r="E6" s="92">
        <v>21</v>
      </c>
      <c r="F6" s="92">
        <v>28</v>
      </c>
      <c r="G6" s="94">
        <f t="shared" ref="G6:G25" si="0">(F6/E6)-1</f>
        <v>0.33333333333333326</v>
      </c>
      <c r="H6" s="135">
        <v>153</v>
      </c>
      <c r="I6" s="136">
        <v>118</v>
      </c>
      <c r="J6" s="137">
        <f>(I6/H6)-1</f>
        <v>-0.22875816993464049</v>
      </c>
      <c r="K6" s="92">
        <v>2478</v>
      </c>
      <c r="L6" s="92">
        <v>2500</v>
      </c>
      <c r="M6" s="94">
        <f>(L6/K6)-1</f>
        <v>8.8781275221954115E-3</v>
      </c>
      <c r="N6" s="1"/>
      <c r="O6" s="1"/>
      <c r="P6" s="1"/>
      <c r="Q6" s="1"/>
      <c r="R6" s="1"/>
      <c r="S6" s="1"/>
      <c r="T6" s="1"/>
      <c r="U6" s="1"/>
      <c r="V6" s="1"/>
      <c r="W6" s="1"/>
      <c r="X6" s="1"/>
      <c r="Y6" s="1"/>
      <c r="Z6" s="1"/>
      <c r="AA6" s="1"/>
    </row>
    <row r="7" spans="1:27" ht="17.100000000000001" customHeight="1" x14ac:dyDescent="0.2">
      <c r="A7" s="24" t="s">
        <v>84</v>
      </c>
      <c r="B7" s="91">
        <v>399</v>
      </c>
      <c r="C7" s="92">
        <v>395</v>
      </c>
      <c r="D7" s="93">
        <f t="shared" ref="D7:D25" si="1">(C7/B7)-1</f>
        <v>-1.0025062656641603E-2</v>
      </c>
      <c r="E7" s="92">
        <v>16</v>
      </c>
      <c r="F7" s="92">
        <v>15</v>
      </c>
      <c r="G7" s="94">
        <f t="shared" si="0"/>
        <v>-6.25E-2</v>
      </c>
      <c r="H7" s="91">
        <v>85</v>
      </c>
      <c r="I7" s="92">
        <v>76</v>
      </c>
      <c r="J7" s="93">
        <f t="shared" ref="J7:J25" si="2">(I7/H7)-1</f>
        <v>-0.10588235294117643</v>
      </c>
      <c r="K7" s="92">
        <v>435</v>
      </c>
      <c r="L7" s="92">
        <v>475</v>
      </c>
      <c r="M7" s="94">
        <f t="shared" ref="M7:M25" si="3">(L7/K7)-1</f>
        <v>9.1954022988505857E-2</v>
      </c>
      <c r="N7" s="1"/>
      <c r="O7" s="1"/>
      <c r="P7" s="1"/>
      <c r="Q7" s="1"/>
      <c r="R7" s="1"/>
      <c r="S7" s="1"/>
      <c r="T7" s="1"/>
      <c r="U7" s="1"/>
      <c r="V7" s="1"/>
      <c r="W7" s="1"/>
      <c r="X7" s="1"/>
      <c r="Y7" s="1"/>
      <c r="Z7" s="1"/>
      <c r="AA7" s="1"/>
    </row>
    <row r="8" spans="1:27" ht="17.100000000000001" customHeight="1" x14ac:dyDescent="0.2">
      <c r="A8" s="24" t="s">
        <v>85</v>
      </c>
      <c r="B8" s="91">
        <v>2449</v>
      </c>
      <c r="C8" s="92">
        <v>2578</v>
      </c>
      <c r="D8" s="93">
        <f t="shared" si="1"/>
        <v>5.2674561045324531E-2</v>
      </c>
      <c r="E8" s="92">
        <v>35</v>
      </c>
      <c r="F8" s="92">
        <v>21</v>
      </c>
      <c r="G8" s="94">
        <f t="shared" si="0"/>
        <v>-0.4</v>
      </c>
      <c r="H8" s="91">
        <v>164</v>
      </c>
      <c r="I8" s="92">
        <v>152</v>
      </c>
      <c r="J8" s="93">
        <f t="shared" si="2"/>
        <v>-7.3170731707317027E-2</v>
      </c>
      <c r="K8" s="92">
        <v>2941</v>
      </c>
      <c r="L8" s="92">
        <v>3090</v>
      </c>
      <c r="M8" s="94">
        <f t="shared" si="3"/>
        <v>5.0663039782386843E-2</v>
      </c>
      <c r="N8" s="1"/>
      <c r="O8" s="1"/>
      <c r="P8" s="1"/>
      <c r="Q8" s="1"/>
      <c r="R8" s="1"/>
      <c r="S8" s="1"/>
      <c r="T8" s="1"/>
      <c r="U8" s="1"/>
      <c r="V8" s="1"/>
      <c r="W8" s="1"/>
      <c r="X8" s="1"/>
      <c r="Y8" s="1"/>
      <c r="Z8" s="1"/>
      <c r="AA8" s="1"/>
    </row>
    <row r="9" spans="1:27" ht="17.100000000000001" customHeight="1" x14ac:dyDescent="0.2">
      <c r="A9" s="24" t="s">
        <v>86</v>
      </c>
      <c r="B9" s="91">
        <v>289</v>
      </c>
      <c r="C9" s="92">
        <v>309</v>
      </c>
      <c r="D9" s="93">
        <f t="shared" si="1"/>
        <v>6.9204152249134898E-2</v>
      </c>
      <c r="E9" s="92">
        <v>9</v>
      </c>
      <c r="F9" s="92">
        <v>14</v>
      </c>
      <c r="G9" s="94">
        <f t="shared" si="0"/>
        <v>0.55555555555555558</v>
      </c>
      <c r="H9" s="91">
        <v>38</v>
      </c>
      <c r="I9" s="92">
        <v>53</v>
      </c>
      <c r="J9" s="93">
        <f t="shared" si="2"/>
        <v>0.39473684210526305</v>
      </c>
      <c r="K9" s="92">
        <v>342</v>
      </c>
      <c r="L9" s="92">
        <v>330</v>
      </c>
      <c r="M9" s="94">
        <f t="shared" si="3"/>
        <v>-3.5087719298245612E-2</v>
      </c>
      <c r="N9" s="1"/>
      <c r="O9" s="1"/>
      <c r="P9" s="1"/>
      <c r="Q9" s="1"/>
      <c r="R9" s="1"/>
      <c r="S9" s="1"/>
      <c r="T9" s="1"/>
      <c r="U9" s="1"/>
      <c r="V9" s="1"/>
      <c r="W9" s="1"/>
      <c r="X9" s="1"/>
      <c r="Y9" s="1"/>
      <c r="Z9" s="1"/>
      <c r="AA9" s="1"/>
    </row>
    <row r="10" spans="1:27" ht="17.100000000000001" customHeight="1" x14ac:dyDescent="0.2">
      <c r="A10" s="24" t="s">
        <v>87</v>
      </c>
      <c r="B10" s="91">
        <v>409</v>
      </c>
      <c r="C10" s="92">
        <v>419</v>
      </c>
      <c r="D10" s="93">
        <f t="shared" si="1"/>
        <v>2.4449877750611249E-2</v>
      </c>
      <c r="E10" s="92">
        <v>8</v>
      </c>
      <c r="F10" s="92">
        <v>11</v>
      </c>
      <c r="G10" s="94">
        <f t="shared" si="0"/>
        <v>0.375</v>
      </c>
      <c r="H10" s="91">
        <v>53</v>
      </c>
      <c r="I10" s="92">
        <v>66</v>
      </c>
      <c r="J10" s="93">
        <f t="shared" si="2"/>
        <v>0.24528301886792447</v>
      </c>
      <c r="K10" s="92">
        <v>467</v>
      </c>
      <c r="L10" s="92">
        <v>495</v>
      </c>
      <c r="M10" s="94">
        <f t="shared" si="3"/>
        <v>5.9957173447537482E-2</v>
      </c>
      <c r="N10" s="1"/>
      <c r="O10" s="1"/>
      <c r="P10" s="1"/>
      <c r="Q10" s="1"/>
      <c r="R10" s="1"/>
      <c r="S10" s="1"/>
      <c r="T10" s="1"/>
      <c r="U10" s="1"/>
      <c r="V10" s="1"/>
      <c r="W10" s="1"/>
      <c r="X10" s="1"/>
      <c r="Y10" s="1"/>
      <c r="Z10" s="1"/>
      <c r="AA10" s="1"/>
    </row>
    <row r="11" spans="1:27" ht="17.100000000000001" customHeight="1" x14ac:dyDescent="0.2">
      <c r="A11" s="24" t="s">
        <v>88</v>
      </c>
      <c r="B11" s="91">
        <v>1237</v>
      </c>
      <c r="C11" s="92">
        <v>1276</v>
      </c>
      <c r="D11" s="93">
        <f t="shared" si="1"/>
        <v>3.1527890056588515E-2</v>
      </c>
      <c r="E11" s="92">
        <v>20</v>
      </c>
      <c r="F11" s="92">
        <v>17</v>
      </c>
      <c r="G11" s="94">
        <f t="shared" si="0"/>
        <v>-0.15000000000000002</v>
      </c>
      <c r="H11" s="91">
        <v>82</v>
      </c>
      <c r="I11" s="92">
        <v>78</v>
      </c>
      <c r="J11" s="93">
        <f t="shared" si="2"/>
        <v>-4.8780487804878092E-2</v>
      </c>
      <c r="K11" s="92">
        <v>1433</v>
      </c>
      <c r="L11" s="92">
        <v>1500</v>
      </c>
      <c r="M11" s="94">
        <f t="shared" si="3"/>
        <v>4.6755059316120118E-2</v>
      </c>
      <c r="N11" s="1"/>
      <c r="O11" s="1"/>
      <c r="P11" s="1"/>
      <c r="Q11" s="1"/>
      <c r="R11" s="1"/>
      <c r="S11" s="1"/>
      <c r="T11" s="1"/>
      <c r="U11" s="1"/>
      <c r="V11" s="1"/>
      <c r="W11" s="1"/>
      <c r="X11" s="1"/>
      <c r="Y11" s="1"/>
      <c r="Z11" s="1"/>
      <c r="AA11" s="1"/>
    </row>
    <row r="12" spans="1:27" ht="17.100000000000001" customHeight="1" x14ac:dyDescent="0.2">
      <c r="A12" s="24" t="s">
        <v>89</v>
      </c>
      <c r="B12" s="91">
        <v>390</v>
      </c>
      <c r="C12" s="92">
        <v>338</v>
      </c>
      <c r="D12" s="93">
        <f t="shared" si="1"/>
        <v>-0.1333333333333333</v>
      </c>
      <c r="E12" s="92">
        <v>9</v>
      </c>
      <c r="F12" s="92">
        <v>7</v>
      </c>
      <c r="G12" s="94">
        <f t="shared" si="0"/>
        <v>-0.22222222222222221</v>
      </c>
      <c r="H12" s="91">
        <v>58</v>
      </c>
      <c r="I12" s="92">
        <v>53</v>
      </c>
      <c r="J12" s="93">
        <f t="shared" si="2"/>
        <v>-8.6206896551724088E-2</v>
      </c>
      <c r="K12" s="92">
        <v>443</v>
      </c>
      <c r="L12" s="92">
        <v>386</v>
      </c>
      <c r="M12" s="94">
        <f t="shared" si="3"/>
        <v>-0.12866817155756205</v>
      </c>
      <c r="N12" s="1"/>
      <c r="O12" s="1"/>
      <c r="P12" s="1"/>
      <c r="Q12" s="1"/>
      <c r="R12" s="1"/>
      <c r="S12" s="1"/>
      <c r="T12" s="1"/>
      <c r="U12" s="1"/>
      <c r="V12" s="1"/>
      <c r="W12" s="1"/>
      <c r="X12" s="1"/>
      <c r="Y12" s="1"/>
      <c r="Z12" s="1"/>
      <c r="AA12" s="1"/>
    </row>
    <row r="13" spans="1:27" ht="17.100000000000001" customHeight="1" x14ac:dyDescent="0.2">
      <c r="A13" s="24" t="s">
        <v>90</v>
      </c>
      <c r="B13" s="91">
        <v>1812</v>
      </c>
      <c r="C13" s="92">
        <v>1771</v>
      </c>
      <c r="D13" s="93">
        <f t="shared" si="1"/>
        <v>-2.2626931567328867E-2</v>
      </c>
      <c r="E13" s="92">
        <v>26</v>
      </c>
      <c r="F13" s="92">
        <v>25</v>
      </c>
      <c r="G13" s="94">
        <f t="shared" si="0"/>
        <v>-3.8461538461538436E-2</v>
      </c>
      <c r="H13" s="91">
        <v>160</v>
      </c>
      <c r="I13" s="92">
        <v>168</v>
      </c>
      <c r="J13" s="93">
        <f t="shared" si="2"/>
        <v>5.0000000000000044E-2</v>
      </c>
      <c r="K13" s="92">
        <v>2004</v>
      </c>
      <c r="L13" s="92">
        <v>1996</v>
      </c>
      <c r="M13" s="94">
        <f t="shared" si="3"/>
        <v>-3.9920159680638667E-3</v>
      </c>
      <c r="N13" s="1"/>
      <c r="O13" s="1"/>
      <c r="P13" s="1"/>
      <c r="Q13" s="1"/>
      <c r="R13" s="1"/>
      <c r="S13" s="1"/>
      <c r="T13" s="1"/>
      <c r="U13" s="1"/>
      <c r="V13" s="1"/>
      <c r="W13" s="1"/>
      <c r="X13" s="1"/>
      <c r="Y13" s="1"/>
      <c r="Z13" s="1"/>
      <c r="AA13" s="1"/>
    </row>
    <row r="14" spans="1:27" ht="17.100000000000001" customHeight="1" x14ac:dyDescent="0.2">
      <c r="A14" s="24" t="s">
        <v>91</v>
      </c>
      <c r="B14" s="91">
        <v>369</v>
      </c>
      <c r="C14" s="92">
        <v>322</v>
      </c>
      <c r="D14" s="93">
        <f t="shared" si="1"/>
        <v>-0.12737127371273715</v>
      </c>
      <c r="E14" s="92">
        <v>13</v>
      </c>
      <c r="F14" s="92">
        <v>5</v>
      </c>
      <c r="G14" s="94">
        <f t="shared" si="0"/>
        <v>-0.61538461538461542</v>
      </c>
      <c r="H14" s="91">
        <v>43</v>
      </c>
      <c r="I14" s="92">
        <v>24</v>
      </c>
      <c r="J14" s="93">
        <f t="shared" si="2"/>
        <v>-0.44186046511627908</v>
      </c>
      <c r="K14" s="92">
        <v>427</v>
      </c>
      <c r="L14" s="92">
        <v>381</v>
      </c>
      <c r="M14" s="94">
        <f t="shared" si="3"/>
        <v>-0.10772833723653397</v>
      </c>
      <c r="N14" s="1"/>
      <c r="O14" s="1"/>
      <c r="P14" s="1"/>
      <c r="Q14" s="1"/>
      <c r="R14" s="1"/>
      <c r="S14" s="1"/>
      <c r="T14" s="1"/>
      <c r="U14" s="1"/>
      <c r="V14" s="1"/>
      <c r="W14" s="1"/>
      <c r="X14" s="1"/>
      <c r="Y14" s="1"/>
      <c r="Z14" s="1"/>
      <c r="AA14" s="1"/>
    </row>
    <row r="15" spans="1:27" ht="17.100000000000001" customHeight="1" x14ac:dyDescent="0.2">
      <c r="A15" s="24" t="s">
        <v>92</v>
      </c>
      <c r="B15" s="91">
        <v>1383</v>
      </c>
      <c r="C15" s="92">
        <v>1452</v>
      </c>
      <c r="D15" s="93">
        <f t="shared" si="1"/>
        <v>4.9891540130151846E-2</v>
      </c>
      <c r="E15" s="92">
        <v>27</v>
      </c>
      <c r="F15" s="92">
        <v>19</v>
      </c>
      <c r="G15" s="94">
        <f t="shared" si="0"/>
        <v>-0.29629629629629628</v>
      </c>
      <c r="H15" s="91">
        <v>134</v>
      </c>
      <c r="I15" s="92">
        <v>139</v>
      </c>
      <c r="J15" s="93">
        <f t="shared" si="2"/>
        <v>3.7313432835820892E-2</v>
      </c>
      <c r="K15" s="92">
        <v>1589</v>
      </c>
      <c r="L15" s="92">
        <v>1670</v>
      </c>
      <c r="M15" s="94">
        <f t="shared" si="3"/>
        <v>5.097545626179989E-2</v>
      </c>
      <c r="N15" s="1"/>
      <c r="O15" s="1"/>
      <c r="P15" s="1"/>
      <c r="Q15" s="1"/>
      <c r="R15" s="1"/>
      <c r="S15" s="1"/>
      <c r="T15" s="1"/>
      <c r="U15" s="1"/>
      <c r="V15" s="1"/>
      <c r="W15" s="1"/>
      <c r="X15" s="1"/>
      <c r="Y15" s="1"/>
      <c r="Z15" s="1"/>
      <c r="AA15" s="1"/>
    </row>
    <row r="16" spans="1:27" ht="17.100000000000001" customHeight="1" x14ac:dyDescent="0.2">
      <c r="A16" s="24" t="s">
        <v>93</v>
      </c>
      <c r="B16" s="91">
        <v>5617</v>
      </c>
      <c r="C16" s="92">
        <v>5923</v>
      </c>
      <c r="D16" s="93">
        <f t="shared" si="1"/>
        <v>5.4477479081360247E-2</v>
      </c>
      <c r="E16" s="92">
        <v>47</v>
      </c>
      <c r="F16" s="92">
        <v>38</v>
      </c>
      <c r="G16" s="94">
        <f t="shared" si="0"/>
        <v>-0.19148936170212771</v>
      </c>
      <c r="H16" s="91">
        <v>237</v>
      </c>
      <c r="I16" s="92">
        <v>284</v>
      </c>
      <c r="J16" s="93">
        <f t="shared" si="2"/>
        <v>0.19831223628691985</v>
      </c>
      <c r="K16" s="92">
        <v>6607</v>
      </c>
      <c r="L16" s="92">
        <v>6978</v>
      </c>
      <c r="M16" s="94">
        <f t="shared" si="3"/>
        <v>5.615256546087477E-2</v>
      </c>
      <c r="N16" s="1"/>
      <c r="O16" s="1"/>
      <c r="P16" s="1"/>
      <c r="Q16" s="1"/>
      <c r="R16" s="1"/>
      <c r="S16" s="1"/>
      <c r="T16" s="1"/>
      <c r="U16" s="1"/>
      <c r="V16" s="1"/>
      <c r="W16" s="1"/>
      <c r="X16" s="1"/>
      <c r="Y16" s="1"/>
      <c r="Z16" s="1"/>
      <c r="AA16" s="1"/>
    </row>
    <row r="17" spans="1:27" ht="17.100000000000001" customHeight="1" x14ac:dyDescent="0.2">
      <c r="A17" s="24" t="s">
        <v>94</v>
      </c>
      <c r="B17" s="91">
        <v>244</v>
      </c>
      <c r="C17" s="92">
        <v>267</v>
      </c>
      <c r="D17" s="93">
        <f t="shared" si="1"/>
        <v>9.4262295081967151E-2</v>
      </c>
      <c r="E17" s="92">
        <v>7</v>
      </c>
      <c r="F17" s="92">
        <v>12</v>
      </c>
      <c r="G17" s="94">
        <f t="shared" si="0"/>
        <v>0.71428571428571419</v>
      </c>
      <c r="H17" s="91">
        <v>41</v>
      </c>
      <c r="I17" s="92">
        <v>80</v>
      </c>
      <c r="J17" s="93">
        <f t="shared" si="2"/>
        <v>0.95121951219512191</v>
      </c>
      <c r="K17" s="92">
        <v>261</v>
      </c>
      <c r="L17" s="92">
        <v>279</v>
      </c>
      <c r="M17" s="94">
        <f t="shared" si="3"/>
        <v>6.8965517241379226E-2</v>
      </c>
      <c r="N17" s="1"/>
      <c r="O17" s="1"/>
      <c r="P17" s="1"/>
      <c r="Q17" s="1"/>
      <c r="R17" s="1"/>
      <c r="S17" s="1"/>
      <c r="T17" s="1"/>
      <c r="U17" s="1"/>
      <c r="V17" s="1"/>
      <c r="W17" s="1"/>
      <c r="X17" s="1"/>
      <c r="Y17" s="1"/>
      <c r="Z17" s="1"/>
      <c r="AA17" s="1"/>
    </row>
    <row r="18" spans="1:27" ht="17.100000000000001" customHeight="1" x14ac:dyDescent="0.2">
      <c r="A18" s="24" t="s">
        <v>95</v>
      </c>
      <c r="B18" s="91">
        <v>4671</v>
      </c>
      <c r="C18" s="92">
        <v>4722</v>
      </c>
      <c r="D18" s="93">
        <f t="shared" si="1"/>
        <v>1.0918432883750828E-2</v>
      </c>
      <c r="E18" s="92">
        <v>47</v>
      </c>
      <c r="F18" s="92">
        <v>37</v>
      </c>
      <c r="G18" s="94">
        <f t="shared" si="0"/>
        <v>-0.21276595744680848</v>
      </c>
      <c r="H18" s="91">
        <v>179</v>
      </c>
      <c r="I18" s="92">
        <v>158</v>
      </c>
      <c r="J18" s="93">
        <f t="shared" si="2"/>
        <v>-0.11731843575418999</v>
      </c>
      <c r="K18" s="92">
        <v>5557</v>
      </c>
      <c r="L18" s="92">
        <v>5578</v>
      </c>
      <c r="M18" s="94">
        <f t="shared" si="3"/>
        <v>3.7790174554614975E-3</v>
      </c>
      <c r="N18" s="1"/>
      <c r="O18" s="1"/>
      <c r="P18" s="1"/>
      <c r="Q18" s="1"/>
      <c r="R18" s="1"/>
      <c r="S18" s="1"/>
      <c r="T18" s="1"/>
      <c r="U18" s="1"/>
      <c r="V18" s="1"/>
      <c r="W18" s="1"/>
      <c r="X18" s="1"/>
      <c r="Y18" s="1"/>
      <c r="Z18" s="1"/>
      <c r="AA18" s="1"/>
    </row>
    <row r="19" spans="1:27" ht="17.100000000000001" customHeight="1" x14ac:dyDescent="0.2">
      <c r="A19" s="24" t="s">
        <v>96</v>
      </c>
      <c r="B19" s="91">
        <v>1251</v>
      </c>
      <c r="C19" s="92">
        <v>1266</v>
      </c>
      <c r="D19" s="93">
        <f t="shared" si="1"/>
        <v>1.1990407673860837E-2</v>
      </c>
      <c r="E19" s="92">
        <v>17</v>
      </c>
      <c r="F19" s="92">
        <v>24</v>
      </c>
      <c r="G19" s="94">
        <f t="shared" si="0"/>
        <v>0.41176470588235303</v>
      </c>
      <c r="H19" s="91">
        <v>164</v>
      </c>
      <c r="I19" s="92">
        <v>187</v>
      </c>
      <c r="J19" s="93">
        <f t="shared" si="2"/>
        <v>0.14024390243902429</v>
      </c>
      <c r="K19" s="92">
        <v>1461</v>
      </c>
      <c r="L19" s="92">
        <v>1521</v>
      </c>
      <c r="M19" s="94">
        <f t="shared" si="3"/>
        <v>4.1067761806981462E-2</v>
      </c>
      <c r="N19" s="1"/>
      <c r="O19" s="1"/>
      <c r="P19" s="1"/>
      <c r="Q19" s="1"/>
      <c r="R19" s="1"/>
      <c r="S19" s="1"/>
      <c r="T19" s="1"/>
      <c r="U19" s="1"/>
      <c r="V19" s="1"/>
      <c r="W19" s="1"/>
      <c r="X19" s="1"/>
      <c r="Y19" s="1"/>
      <c r="Z19" s="1"/>
      <c r="AA19" s="1"/>
    </row>
    <row r="20" spans="1:27" ht="17.100000000000001" customHeight="1" x14ac:dyDescent="0.2">
      <c r="A20" s="24" t="s">
        <v>97</v>
      </c>
      <c r="B20" s="91">
        <v>2041</v>
      </c>
      <c r="C20" s="92">
        <v>2159</v>
      </c>
      <c r="D20" s="93">
        <f t="shared" si="1"/>
        <v>5.7814796668299806E-2</v>
      </c>
      <c r="E20" s="92">
        <v>23</v>
      </c>
      <c r="F20" s="92">
        <v>28</v>
      </c>
      <c r="G20" s="94">
        <f t="shared" si="0"/>
        <v>0.21739130434782616</v>
      </c>
      <c r="H20" s="91">
        <v>159</v>
      </c>
      <c r="I20" s="92">
        <v>174</v>
      </c>
      <c r="J20" s="93">
        <f t="shared" si="2"/>
        <v>9.4339622641509413E-2</v>
      </c>
      <c r="K20" s="92">
        <v>2468</v>
      </c>
      <c r="L20" s="92">
        <v>2563</v>
      </c>
      <c r="M20" s="94">
        <f t="shared" si="3"/>
        <v>3.8492706645056662E-2</v>
      </c>
      <c r="N20" s="1"/>
      <c r="O20" s="1"/>
      <c r="P20" s="1"/>
      <c r="Q20" s="1"/>
      <c r="R20" s="1"/>
      <c r="S20" s="1"/>
      <c r="T20" s="1"/>
      <c r="U20" s="1"/>
      <c r="V20" s="1"/>
      <c r="W20" s="1"/>
      <c r="X20" s="1"/>
      <c r="Y20" s="1"/>
      <c r="Z20" s="1"/>
      <c r="AA20" s="1"/>
    </row>
    <row r="21" spans="1:27" ht="17.100000000000001" customHeight="1" x14ac:dyDescent="0.2">
      <c r="A21" s="24" t="s">
        <v>98</v>
      </c>
      <c r="B21" s="91">
        <v>703</v>
      </c>
      <c r="C21" s="92">
        <v>685</v>
      </c>
      <c r="D21" s="93">
        <f t="shared" si="1"/>
        <v>-2.560455192034139E-2</v>
      </c>
      <c r="E21" s="92">
        <v>9</v>
      </c>
      <c r="F21" s="92">
        <v>12</v>
      </c>
      <c r="G21" s="94">
        <f t="shared" si="0"/>
        <v>0.33333333333333326</v>
      </c>
      <c r="H21" s="91">
        <v>62</v>
      </c>
      <c r="I21" s="92">
        <v>48</v>
      </c>
      <c r="J21" s="93">
        <f t="shared" si="2"/>
        <v>-0.22580645161290325</v>
      </c>
      <c r="K21" s="92">
        <v>848</v>
      </c>
      <c r="L21" s="92">
        <v>817</v>
      </c>
      <c r="M21" s="94">
        <f t="shared" si="3"/>
        <v>-3.6556603773584939E-2</v>
      </c>
      <c r="N21" s="1"/>
      <c r="O21" s="1"/>
      <c r="P21" s="1"/>
      <c r="Q21" s="1"/>
      <c r="R21" s="1"/>
      <c r="S21" s="1"/>
      <c r="T21" s="1"/>
      <c r="U21" s="1"/>
      <c r="V21" s="1"/>
      <c r="W21" s="1"/>
      <c r="X21" s="1"/>
      <c r="Y21" s="1"/>
      <c r="Z21" s="1"/>
      <c r="AA21" s="1"/>
    </row>
    <row r="22" spans="1:27" ht="17.100000000000001" customHeight="1" x14ac:dyDescent="0.2">
      <c r="A22" s="24" t="s">
        <v>99</v>
      </c>
      <c r="B22" s="91">
        <v>518</v>
      </c>
      <c r="C22" s="92">
        <v>511</v>
      </c>
      <c r="D22" s="93">
        <f t="shared" si="1"/>
        <v>-1.3513513513513487E-2</v>
      </c>
      <c r="E22" s="92">
        <v>8</v>
      </c>
      <c r="F22" s="92">
        <v>7</v>
      </c>
      <c r="G22" s="94">
        <f t="shared" si="0"/>
        <v>-0.125</v>
      </c>
      <c r="H22" s="91">
        <v>49</v>
      </c>
      <c r="I22" s="92">
        <v>48</v>
      </c>
      <c r="J22" s="93">
        <f t="shared" si="2"/>
        <v>-2.0408163265306145E-2</v>
      </c>
      <c r="K22" s="92">
        <v>604</v>
      </c>
      <c r="L22" s="92">
        <v>614</v>
      </c>
      <c r="M22" s="94">
        <f t="shared" si="3"/>
        <v>1.655629139072845E-2</v>
      </c>
      <c r="N22" s="1"/>
      <c r="O22" s="1"/>
      <c r="P22" s="1"/>
      <c r="Q22" s="1"/>
      <c r="R22" s="1"/>
      <c r="S22" s="1"/>
      <c r="T22" s="1"/>
      <c r="U22" s="1"/>
      <c r="V22" s="1"/>
      <c r="W22" s="1"/>
      <c r="X22" s="1"/>
      <c r="Y22" s="1"/>
      <c r="Z22" s="1"/>
      <c r="AA22" s="1"/>
    </row>
    <row r="23" spans="1:27" ht="17.100000000000001" customHeight="1" x14ac:dyDescent="0.2">
      <c r="A23" s="24" t="s">
        <v>100</v>
      </c>
      <c r="B23" s="91">
        <v>1056</v>
      </c>
      <c r="C23" s="92">
        <v>1104</v>
      </c>
      <c r="D23" s="93">
        <f t="shared" si="1"/>
        <v>4.5454545454545414E-2</v>
      </c>
      <c r="E23" s="92">
        <v>18</v>
      </c>
      <c r="F23" s="92">
        <v>10</v>
      </c>
      <c r="G23" s="94">
        <f t="shared" si="0"/>
        <v>-0.44444444444444442</v>
      </c>
      <c r="H23" s="91">
        <v>96</v>
      </c>
      <c r="I23" s="92">
        <v>90</v>
      </c>
      <c r="J23" s="93">
        <f t="shared" si="2"/>
        <v>-6.25E-2</v>
      </c>
      <c r="K23" s="92">
        <v>1258</v>
      </c>
      <c r="L23" s="92">
        <v>1310</v>
      </c>
      <c r="M23" s="94">
        <f t="shared" si="3"/>
        <v>4.133545310015907E-2</v>
      </c>
      <c r="N23" s="1"/>
      <c r="O23" s="1"/>
      <c r="P23" s="1"/>
      <c r="Q23" s="1"/>
      <c r="R23" s="1"/>
      <c r="S23" s="1"/>
      <c r="T23" s="1"/>
      <c r="U23" s="1"/>
      <c r="V23" s="1"/>
      <c r="W23" s="1"/>
      <c r="X23" s="1"/>
      <c r="Y23" s="1"/>
      <c r="Z23" s="1"/>
      <c r="AA23" s="1"/>
    </row>
    <row r="24" spans="1:27" ht="17.100000000000001" customHeight="1" x14ac:dyDescent="0.2">
      <c r="A24" s="24" t="s">
        <v>36</v>
      </c>
      <c r="B24" s="91">
        <v>524</v>
      </c>
      <c r="C24" s="92">
        <v>499</v>
      </c>
      <c r="D24" s="93">
        <f t="shared" si="1"/>
        <v>-4.7709923664122189E-2</v>
      </c>
      <c r="E24" s="92">
        <v>5</v>
      </c>
      <c r="F24" s="92">
        <v>4</v>
      </c>
      <c r="G24" s="94">
        <f t="shared" si="0"/>
        <v>-0.19999999999999996</v>
      </c>
      <c r="H24" s="91">
        <v>77</v>
      </c>
      <c r="I24" s="92">
        <v>98</v>
      </c>
      <c r="J24" s="93">
        <f t="shared" si="2"/>
        <v>0.27272727272727271</v>
      </c>
      <c r="K24" s="92">
        <v>591</v>
      </c>
      <c r="L24" s="92">
        <v>577</v>
      </c>
      <c r="M24" s="94">
        <f t="shared" si="3"/>
        <v>-2.3688663282571909E-2</v>
      </c>
      <c r="N24" s="1"/>
      <c r="O24" s="1"/>
      <c r="P24" s="1"/>
      <c r="Q24" s="1"/>
      <c r="R24" s="1"/>
      <c r="S24" s="1"/>
      <c r="T24" s="1"/>
      <c r="U24" s="1"/>
      <c r="V24" s="1"/>
      <c r="W24" s="1"/>
      <c r="X24" s="1"/>
      <c r="Y24" s="1"/>
      <c r="Z24" s="1"/>
      <c r="AA24" s="1"/>
    </row>
    <row r="25" spans="1:27" ht="17.100000000000001" customHeight="1" x14ac:dyDescent="0.2">
      <c r="A25" s="24" t="s">
        <v>37</v>
      </c>
      <c r="B25" s="91">
        <v>736</v>
      </c>
      <c r="C25" s="92">
        <v>795</v>
      </c>
      <c r="D25" s="93">
        <f t="shared" si="1"/>
        <v>8.0163043478260976E-2</v>
      </c>
      <c r="E25" s="92">
        <v>7</v>
      </c>
      <c r="F25" s="92">
        <v>3</v>
      </c>
      <c r="G25" s="94">
        <f t="shared" si="0"/>
        <v>-0.5714285714285714</v>
      </c>
      <c r="H25" s="91">
        <v>55</v>
      </c>
      <c r="I25" s="92">
        <v>67</v>
      </c>
      <c r="J25" s="93">
        <f t="shared" si="2"/>
        <v>0.21818181818181825</v>
      </c>
      <c r="K25" s="92">
        <v>832</v>
      </c>
      <c r="L25" s="92">
        <v>916</v>
      </c>
      <c r="M25" s="94">
        <f t="shared" si="3"/>
        <v>0.10096153846153855</v>
      </c>
      <c r="N25" s="1"/>
      <c r="O25" s="1"/>
      <c r="P25" s="1"/>
      <c r="Q25" s="1"/>
      <c r="R25" s="1"/>
      <c r="S25" s="1"/>
      <c r="T25" s="1"/>
      <c r="U25" s="1"/>
      <c r="V25" s="1"/>
      <c r="W25" s="1"/>
      <c r="X25" s="1"/>
      <c r="Y25" s="1"/>
      <c r="Z25" s="1"/>
      <c r="AA25" s="1"/>
    </row>
    <row r="26" spans="1:27" ht="17.100000000000001" customHeight="1" thickBot="1" x14ac:dyDescent="0.25">
      <c r="A26" s="11" t="s">
        <v>35</v>
      </c>
      <c r="B26" s="131">
        <f>SUM(B6:B25)</f>
        <v>28256</v>
      </c>
      <c r="C26" s="132">
        <f>SUM(C6:C25)</f>
        <v>28975</v>
      </c>
      <c r="D26" s="133">
        <f>(C26/B26)-1</f>
        <v>2.5445922989807412E-2</v>
      </c>
      <c r="E26" s="132">
        <f>SUM(E6:E25)</f>
        <v>372</v>
      </c>
      <c r="F26" s="132">
        <f>SUM(F6:F25)</f>
        <v>337</v>
      </c>
      <c r="G26" s="134">
        <f>(F26/E26)-1</f>
        <v>-9.4086021505376372E-2</v>
      </c>
      <c r="H26" s="131">
        <f>SUM(H6:H25)</f>
        <v>2089</v>
      </c>
      <c r="I26" s="132">
        <f>SUM(I6:I25)</f>
        <v>2161</v>
      </c>
      <c r="J26" s="133">
        <f>(I26/H26)-1</f>
        <v>3.4466251795117309E-2</v>
      </c>
      <c r="K26" s="132">
        <f>SUM(K6:K25)</f>
        <v>33046</v>
      </c>
      <c r="L26" s="132">
        <f>SUM(L6:L25)</f>
        <v>33976</v>
      </c>
      <c r="M26" s="134">
        <f>(L26/K26)-1</f>
        <v>2.814258911819878E-2</v>
      </c>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8.9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8.9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8.9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8.9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8.9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8.9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9" spans="1:27" x14ac:dyDescent="0.2">
      <c r="G39" s="1"/>
    </row>
    <row r="50" spans="9:9" x14ac:dyDescent="0.2">
      <c r="I50" s="1"/>
    </row>
  </sheetData>
  <mergeCells count="5">
    <mergeCell ref="A4:A5"/>
    <mergeCell ref="B4:D4"/>
    <mergeCell ref="E4:G4"/>
    <mergeCell ref="H4:J4"/>
    <mergeCell ref="K4:M4"/>
  </mergeCells>
  <printOptions horizontalCentered="1"/>
  <pageMargins left="0.23622047244094491" right="0.23622047244094491" top="0.74803149606299213" bottom="0.74803149606299213" header="0.31496062992125984" footer="0.31496062992125984"/>
  <pageSetup paperSize="9" scale="85" orientation="portrait" verticalDpi="0" r:id="rId1"/>
  <ignoredErrors>
    <ignoredError sqref="B26:C26 K26:M26" formulaRange="1"/>
    <ignoredError sqref="D26:J26" formula="1" formulaRange="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365A0-4AE6-40F2-8253-485377C268BB}">
  <sheetPr>
    <pageSetUpPr fitToPage="1"/>
  </sheetPr>
  <dimension ref="A1:U48"/>
  <sheetViews>
    <sheetView showGridLines="0" zoomScaleNormal="100" workbookViewId="0"/>
  </sheetViews>
  <sheetFormatPr defaultColWidth="9.140625" defaultRowHeight="12" x14ac:dyDescent="0.2"/>
  <cols>
    <col min="1" max="1" width="18.7109375" style="3" customWidth="1"/>
    <col min="2" max="10" width="7.85546875" style="3" customWidth="1"/>
    <col min="11" max="11" width="3.28515625" style="3" customWidth="1"/>
    <col min="12" max="16384" width="9.140625" style="3"/>
  </cols>
  <sheetData>
    <row r="1" spans="1:21" ht="6" customHeight="1" x14ac:dyDescent="0.2"/>
    <row r="2" spans="1:21" ht="18.95" customHeight="1" x14ac:dyDescent="0.25">
      <c r="A2" s="13" t="s">
        <v>194</v>
      </c>
      <c r="B2" s="14"/>
      <c r="C2" s="1"/>
      <c r="D2" s="1"/>
      <c r="E2" s="1"/>
      <c r="F2" s="1"/>
      <c r="G2" s="1"/>
      <c r="H2" s="1"/>
      <c r="I2" s="1"/>
      <c r="J2" s="1"/>
      <c r="K2" s="1"/>
      <c r="L2" s="1"/>
      <c r="M2" s="1"/>
      <c r="N2" s="1"/>
      <c r="O2" s="1"/>
      <c r="P2" s="1"/>
      <c r="Q2" s="1"/>
      <c r="R2" s="1"/>
      <c r="S2" s="1"/>
      <c r="T2" s="1"/>
      <c r="U2" s="1"/>
    </row>
    <row r="3" spans="1:21" ht="18.95" customHeight="1" thickBot="1" x14ac:dyDescent="0.25">
      <c r="A3" s="2"/>
      <c r="B3" s="2"/>
      <c r="C3" s="1"/>
      <c r="D3" s="1"/>
      <c r="E3" s="1"/>
      <c r="F3" s="1"/>
      <c r="G3" s="1"/>
      <c r="H3" s="1"/>
      <c r="I3" s="1"/>
      <c r="J3" s="1"/>
      <c r="K3" s="1"/>
      <c r="L3" s="1"/>
      <c r="M3" s="1"/>
      <c r="N3" s="1"/>
      <c r="O3" s="1"/>
      <c r="P3" s="1"/>
      <c r="Q3" s="1"/>
      <c r="R3" s="1"/>
      <c r="S3" s="1"/>
      <c r="T3" s="1"/>
      <c r="U3" s="1"/>
    </row>
    <row r="4" spans="1:21" ht="18.95" customHeight="1" x14ac:dyDescent="0.2">
      <c r="A4" s="257" t="str">
        <f>+'1'!A4</f>
        <v>Janeiro-setembro</v>
      </c>
      <c r="B4" s="259" t="s">
        <v>31</v>
      </c>
      <c r="C4" s="260"/>
      <c r="D4" s="261"/>
      <c r="E4" s="259" t="s">
        <v>18</v>
      </c>
      <c r="F4" s="260"/>
      <c r="G4" s="261"/>
      <c r="H4" s="260" t="s">
        <v>20</v>
      </c>
      <c r="I4" s="260"/>
      <c r="J4" s="260"/>
      <c r="K4" s="1"/>
      <c r="L4" s="1"/>
      <c r="M4" s="1"/>
      <c r="N4" s="1"/>
      <c r="O4" s="1"/>
      <c r="P4" s="1"/>
      <c r="Q4" s="1"/>
      <c r="R4" s="1"/>
      <c r="S4" s="1"/>
      <c r="T4" s="1"/>
      <c r="U4" s="1"/>
    </row>
    <row r="5" spans="1:21" ht="30" customHeight="1" x14ac:dyDescent="0.2">
      <c r="A5" s="258"/>
      <c r="B5" s="88">
        <v>2019</v>
      </c>
      <c r="C5" s="88">
        <v>2024</v>
      </c>
      <c r="D5" s="88">
        <v>2025</v>
      </c>
      <c r="E5" s="88">
        <v>2019</v>
      </c>
      <c r="F5" s="88">
        <v>2024</v>
      </c>
      <c r="G5" s="88">
        <v>2025</v>
      </c>
      <c r="H5" s="88">
        <v>2019</v>
      </c>
      <c r="I5" s="88">
        <v>2024</v>
      </c>
      <c r="J5" s="88">
        <v>2025</v>
      </c>
      <c r="K5" s="1"/>
      <c r="L5" s="1"/>
      <c r="M5" s="1"/>
      <c r="N5" s="1"/>
      <c r="O5" s="1"/>
      <c r="P5" s="1"/>
      <c r="Q5" s="1"/>
      <c r="R5" s="1"/>
      <c r="S5" s="1"/>
      <c r="T5" s="1"/>
      <c r="U5" s="1"/>
    </row>
    <row r="6" spans="1:21" ht="18.95" customHeight="1" x14ac:dyDescent="0.2">
      <c r="A6" s="24" t="s">
        <v>101</v>
      </c>
      <c r="B6" s="166">
        <v>250</v>
      </c>
      <c r="C6" s="167">
        <v>272</v>
      </c>
      <c r="D6" s="168">
        <v>254</v>
      </c>
      <c r="E6" s="92">
        <v>1211</v>
      </c>
      <c r="F6" s="92">
        <v>1424</v>
      </c>
      <c r="G6" s="151">
        <v>1531</v>
      </c>
      <c r="H6" s="135">
        <v>21537</v>
      </c>
      <c r="I6" s="136">
        <v>22533</v>
      </c>
      <c r="J6" s="150">
        <v>23430</v>
      </c>
      <c r="K6" s="1"/>
      <c r="L6" s="1"/>
      <c r="M6" s="1"/>
      <c r="N6" s="1"/>
      <c r="O6" s="1"/>
      <c r="P6" s="1"/>
      <c r="Q6" s="1"/>
      <c r="R6" s="1"/>
      <c r="S6" s="1"/>
      <c r="T6" s="1"/>
      <c r="U6" s="1"/>
    </row>
    <row r="7" spans="1:21" ht="18.95" customHeight="1" x14ac:dyDescent="0.2">
      <c r="A7" s="24" t="s">
        <v>102</v>
      </c>
      <c r="B7" s="169">
        <v>97</v>
      </c>
      <c r="C7" s="170">
        <v>47</v>
      </c>
      <c r="D7" s="171">
        <v>56</v>
      </c>
      <c r="E7" s="92">
        <v>355</v>
      </c>
      <c r="F7" s="92">
        <v>323</v>
      </c>
      <c r="G7" s="151">
        <v>352</v>
      </c>
      <c r="H7" s="91">
        <v>8033</v>
      </c>
      <c r="I7" s="92">
        <v>7080</v>
      </c>
      <c r="J7" s="151">
        <v>7106</v>
      </c>
      <c r="K7" s="1"/>
      <c r="L7" s="1"/>
      <c r="M7" s="1"/>
      <c r="N7" s="1"/>
      <c r="O7" s="1"/>
      <c r="P7" s="1"/>
      <c r="Q7" s="1"/>
      <c r="R7" s="1"/>
      <c r="S7" s="1"/>
      <c r="T7" s="1"/>
      <c r="U7" s="1"/>
    </row>
    <row r="8" spans="1:21" ht="18.95" customHeight="1" x14ac:dyDescent="0.2">
      <c r="A8" s="24" t="s">
        <v>103</v>
      </c>
      <c r="B8" s="169">
        <v>52</v>
      </c>
      <c r="C8" s="170">
        <v>53</v>
      </c>
      <c r="D8" s="171">
        <v>27</v>
      </c>
      <c r="E8" s="92">
        <v>380</v>
      </c>
      <c r="F8" s="92">
        <v>342</v>
      </c>
      <c r="G8" s="151">
        <v>278</v>
      </c>
      <c r="H8" s="91">
        <v>3732</v>
      </c>
      <c r="I8" s="92">
        <v>3433</v>
      </c>
      <c r="J8" s="151">
        <v>3440</v>
      </c>
      <c r="K8" s="1"/>
      <c r="L8" s="1"/>
      <c r="M8" s="1"/>
      <c r="N8" s="1"/>
      <c r="O8" s="1"/>
      <c r="P8" s="1"/>
      <c r="Q8" s="1"/>
      <c r="R8" s="1"/>
      <c r="S8" s="1"/>
      <c r="T8" s="1"/>
      <c r="U8" s="1"/>
    </row>
    <row r="9" spans="1:21" ht="18.95" customHeight="1" thickBot="1" x14ac:dyDescent="0.25">
      <c r="A9" s="11" t="s">
        <v>35</v>
      </c>
      <c r="B9" s="131">
        <f t="shared" ref="B9:J9" si="0">SUM(B6:B8)</f>
        <v>399</v>
      </c>
      <c r="C9" s="132">
        <f t="shared" si="0"/>
        <v>372</v>
      </c>
      <c r="D9" s="143">
        <f t="shared" si="0"/>
        <v>337</v>
      </c>
      <c r="E9" s="132">
        <f t="shared" si="0"/>
        <v>1946</v>
      </c>
      <c r="F9" s="132">
        <f t="shared" si="0"/>
        <v>2089</v>
      </c>
      <c r="G9" s="132">
        <f t="shared" si="0"/>
        <v>2161</v>
      </c>
      <c r="H9" s="131">
        <f t="shared" si="0"/>
        <v>33302</v>
      </c>
      <c r="I9" s="132">
        <f t="shared" si="0"/>
        <v>33046</v>
      </c>
      <c r="J9" s="132">
        <f t="shared" si="0"/>
        <v>33976</v>
      </c>
      <c r="K9" s="1"/>
      <c r="L9" s="1"/>
      <c r="M9" s="1"/>
      <c r="N9" s="1"/>
      <c r="O9" s="1"/>
      <c r="P9" s="1"/>
      <c r="Q9" s="1"/>
      <c r="R9" s="1"/>
      <c r="S9" s="1"/>
      <c r="T9" s="1"/>
      <c r="U9" s="1"/>
    </row>
    <row r="10" spans="1:21" ht="18.95" customHeight="1" x14ac:dyDescent="0.2">
      <c r="A10" s="1"/>
      <c r="B10" s="1"/>
      <c r="C10" s="1"/>
      <c r="D10" s="1"/>
      <c r="E10" s="1"/>
      <c r="F10" s="1"/>
      <c r="G10" s="1"/>
      <c r="H10" s="1"/>
      <c r="I10" s="1"/>
      <c r="J10" s="1"/>
      <c r="K10" s="1"/>
      <c r="L10" s="1"/>
      <c r="M10" s="1"/>
      <c r="N10" s="1"/>
      <c r="O10" s="1"/>
      <c r="P10" s="1"/>
      <c r="Q10" s="1"/>
      <c r="R10" s="1"/>
      <c r="S10" s="1"/>
      <c r="T10" s="1"/>
      <c r="U10" s="1"/>
    </row>
    <row r="11" spans="1:21" ht="18.95" customHeight="1" x14ac:dyDescent="0.25">
      <c r="A11" s="13" t="s">
        <v>197</v>
      </c>
      <c r="B11" s="2"/>
      <c r="C11" s="2"/>
      <c r="D11" s="2"/>
      <c r="E11" s="1"/>
      <c r="F11" s="1"/>
      <c r="G11" s="1"/>
      <c r="H11" s="1"/>
      <c r="I11" s="1"/>
      <c r="J11" s="1"/>
      <c r="K11" s="1"/>
      <c r="L11" s="1"/>
      <c r="M11" s="1"/>
      <c r="N11" s="1"/>
      <c r="O11" s="1"/>
      <c r="P11" s="1"/>
      <c r="Q11" s="1"/>
      <c r="R11" s="1"/>
      <c r="S11" s="1"/>
      <c r="T11" s="1"/>
      <c r="U11" s="1"/>
    </row>
    <row r="12" spans="1:21" ht="18.95" customHeight="1" thickBot="1" x14ac:dyDescent="0.25">
      <c r="A12" s="2"/>
      <c r="B12" s="2"/>
      <c r="C12" s="2"/>
      <c r="D12" s="2"/>
      <c r="E12" s="1"/>
      <c r="F12" s="1"/>
      <c r="G12" s="1"/>
      <c r="H12" s="1"/>
      <c r="I12" s="1"/>
      <c r="J12" s="1"/>
      <c r="K12" s="1"/>
      <c r="L12" s="1"/>
      <c r="M12" s="1"/>
      <c r="N12" s="1"/>
      <c r="O12" s="1"/>
      <c r="P12" s="1"/>
      <c r="Q12" s="1"/>
      <c r="R12" s="1"/>
      <c r="S12" s="1"/>
      <c r="T12" s="1"/>
      <c r="U12" s="1"/>
    </row>
    <row r="13" spans="1:21" ht="18.95" customHeight="1" x14ac:dyDescent="0.2">
      <c r="A13" s="257" t="str">
        <f>+'1'!A4</f>
        <v>Janeiro-setembro</v>
      </c>
      <c r="B13" s="259" t="s">
        <v>31</v>
      </c>
      <c r="C13" s="260"/>
      <c r="D13" s="260"/>
      <c r="E13" s="259" t="s">
        <v>18</v>
      </c>
      <c r="F13" s="260"/>
      <c r="G13" s="261"/>
      <c r="H13" s="260" t="s">
        <v>20</v>
      </c>
      <c r="I13" s="260"/>
      <c r="J13" s="260"/>
      <c r="K13" s="1"/>
      <c r="L13" s="1"/>
      <c r="M13" s="1"/>
      <c r="N13" s="1"/>
      <c r="O13" s="1"/>
      <c r="P13" s="1"/>
      <c r="Q13" s="1"/>
      <c r="R13" s="1"/>
      <c r="S13" s="1"/>
      <c r="T13" s="1"/>
      <c r="U13" s="1"/>
    </row>
    <row r="14" spans="1:21" ht="18.95" customHeight="1" x14ac:dyDescent="0.2">
      <c r="A14" s="258"/>
      <c r="B14" s="275" t="s">
        <v>146</v>
      </c>
      <c r="C14" s="276"/>
      <c r="D14" s="276"/>
      <c r="E14" s="276"/>
      <c r="F14" s="276"/>
      <c r="G14" s="276"/>
      <c r="H14" s="276"/>
      <c r="I14" s="276"/>
      <c r="J14" s="276"/>
      <c r="K14" s="1"/>
      <c r="L14" s="1"/>
      <c r="M14" s="1"/>
      <c r="N14" s="1"/>
      <c r="O14" s="1"/>
      <c r="P14" s="1"/>
      <c r="Q14" s="1"/>
      <c r="R14" s="1"/>
      <c r="S14" s="1"/>
      <c r="T14" s="1"/>
      <c r="U14" s="1"/>
    </row>
    <row r="15" spans="1:21" ht="18.95" customHeight="1" x14ac:dyDescent="0.2">
      <c r="A15" s="25"/>
      <c r="B15" s="32" t="s">
        <v>178</v>
      </c>
      <c r="C15" s="32" t="s">
        <v>179</v>
      </c>
      <c r="D15" s="32"/>
      <c r="E15" s="32" t="s">
        <v>178</v>
      </c>
      <c r="F15" s="32" t="s">
        <v>179</v>
      </c>
      <c r="G15" s="33"/>
      <c r="H15" s="32" t="s">
        <v>178</v>
      </c>
      <c r="I15" s="32" t="s">
        <v>179</v>
      </c>
      <c r="J15" s="40"/>
      <c r="K15" s="1"/>
      <c r="L15" s="1"/>
      <c r="M15" s="1"/>
      <c r="N15" s="1"/>
      <c r="O15" s="1"/>
      <c r="P15" s="1"/>
      <c r="Q15" s="1"/>
      <c r="R15" s="1"/>
      <c r="S15" s="1"/>
      <c r="T15" s="1"/>
      <c r="U15" s="1"/>
    </row>
    <row r="16" spans="1:21" ht="18.95" customHeight="1" x14ac:dyDescent="0.2">
      <c r="A16" s="24" t="s">
        <v>101</v>
      </c>
      <c r="B16" s="120">
        <f>(D6/B6)-1</f>
        <v>1.6000000000000014E-2</v>
      </c>
      <c r="C16" s="121">
        <f>(D6/C6)-1</f>
        <v>-6.6176470588235281E-2</v>
      </c>
      <c r="D16" s="122"/>
      <c r="E16" s="121">
        <f>(G6/E6)-1</f>
        <v>0.26424442609413701</v>
      </c>
      <c r="F16" s="121">
        <f>(G6/F6)-1</f>
        <v>7.5140449438202195E-2</v>
      </c>
      <c r="G16" s="119"/>
      <c r="H16" s="120">
        <f>(J6/H6)-1</f>
        <v>8.7895250034823791E-2</v>
      </c>
      <c r="I16" s="121">
        <f>(J6/I6)-1</f>
        <v>3.9808281187591499E-2</v>
      </c>
      <c r="K16" s="1"/>
      <c r="L16" s="1"/>
      <c r="M16" s="1"/>
      <c r="N16" s="1"/>
      <c r="O16" s="1"/>
      <c r="P16" s="1"/>
      <c r="Q16" s="1"/>
      <c r="R16" s="1"/>
      <c r="S16" s="1"/>
      <c r="T16" s="1"/>
      <c r="U16" s="1"/>
    </row>
    <row r="17" spans="1:21" ht="18.95" customHeight="1" x14ac:dyDescent="0.2">
      <c r="A17" s="24" t="s">
        <v>102</v>
      </c>
      <c r="B17" s="120">
        <f>(D7/B7)-1</f>
        <v>-0.42268041237113407</v>
      </c>
      <c r="C17" s="121">
        <f>(D7/C7)-1</f>
        <v>0.1914893617021276</v>
      </c>
      <c r="D17" s="122"/>
      <c r="E17" s="121">
        <f>(G7/E7)-1</f>
        <v>-8.4507042253521014E-3</v>
      </c>
      <c r="F17" s="121">
        <f>(G7/F7)-1</f>
        <v>8.9783281733746056E-2</v>
      </c>
      <c r="G17" s="119"/>
      <c r="H17" s="120">
        <f>(J7/H7)-1</f>
        <v>-0.11539897921075559</v>
      </c>
      <c r="I17" s="121">
        <f>(J7/I7)-1</f>
        <v>3.6723163841807516E-3</v>
      </c>
      <c r="K17" s="1"/>
      <c r="L17" s="1"/>
      <c r="M17" s="1"/>
      <c r="N17" s="1"/>
      <c r="O17" s="1"/>
      <c r="P17" s="1"/>
      <c r="Q17" s="1"/>
      <c r="R17" s="1"/>
      <c r="S17" s="1"/>
      <c r="T17" s="1"/>
      <c r="U17" s="1"/>
    </row>
    <row r="18" spans="1:21" ht="18.95" customHeight="1" x14ac:dyDescent="0.2">
      <c r="A18" s="24" t="s">
        <v>103</v>
      </c>
      <c r="B18" s="120">
        <f>(D8/B8)-1</f>
        <v>-0.48076923076923073</v>
      </c>
      <c r="C18" s="121">
        <f>(D8/C8)-1</f>
        <v>-0.49056603773584906</v>
      </c>
      <c r="D18" s="122"/>
      <c r="E18" s="121">
        <f>(G8/E8)-1</f>
        <v>-0.26842105263157889</v>
      </c>
      <c r="F18" s="121">
        <f>(G8/F8)-1</f>
        <v>-0.1871345029239766</v>
      </c>
      <c r="G18" s="119"/>
      <c r="H18" s="120">
        <f>(J8/H8)-1</f>
        <v>-7.8242229367631255E-2</v>
      </c>
      <c r="I18" s="121">
        <f>(J8/I8)-1</f>
        <v>2.039032915817085E-3</v>
      </c>
      <c r="K18" s="1"/>
      <c r="L18" s="1"/>
      <c r="M18" s="1"/>
      <c r="N18" s="1"/>
      <c r="O18" s="1"/>
      <c r="P18" s="1"/>
      <c r="Q18" s="1"/>
      <c r="R18" s="1"/>
      <c r="S18" s="1"/>
      <c r="T18" s="1"/>
      <c r="U18" s="1"/>
    </row>
    <row r="19" spans="1:21" ht="18.95" customHeight="1" thickBot="1" x14ac:dyDescent="0.25">
      <c r="A19" s="11" t="s">
        <v>35</v>
      </c>
      <c r="B19" s="123">
        <f>(D9/B9)-1</f>
        <v>-0.15538847117794485</v>
      </c>
      <c r="C19" s="124">
        <f>(D9/C9)-1</f>
        <v>-9.4086021505376372E-2</v>
      </c>
      <c r="D19" s="127"/>
      <c r="E19" s="124">
        <f>(G9/E9)-1</f>
        <v>0.11048304213771831</v>
      </c>
      <c r="F19" s="124">
        <f>(G9/F9)-1</f>
        <v>3.4466251795117309E-2</v>
      </c>
      <c r="G19" s="172"/>
      <c r="H19" s="123">
        <f>(J9/H9)-1</f>
        <v>2.0239024683202267E-2</v>
      </c>
      <c r="I19" s="124">
        <f>(J9/I9)-1</f>
        <v>2.814258911819878E-2</v>
      </c>
      <c r="J19" s="41"/>
      <c r="K19" s="1"/>
      <c r="L19" s="1"/>
      <c r="M19" s="1"/>
      <c r="N19" s="1"/>
      <c r="O19" s="1"/>
      <c r="P19" s="1"/>
      <c r="Q19" s="1"/>
      <c r="R19" s="1"/>
      <c r="S19" s="1"/>
      <c r="T19" s="1"/>
      <c r="U19" s="1"/>
    </row>
    <row r="20" spans="1:21" ht="18.95" customHeight="1" x14ac:dyDescent="0.2">
      <c r="A20" s="1"/>
      <c r="B20" s="1"/>
      <c r="C20" s="1"/>
      <c r="D20" s="1"/>
      <c r="E20" s="1"/>
      <c r="F20" s="1"/>
      <c r="G20" s="1"/>
      <c r="H20" s="1"/>
      <c r="I20" s="1"/>
      <c r="J20" s="1"/>
      <c r="K20" s="1"/>
      <c r="L20" s="1"/>
      <c r="M20" s="1"/>
      <c r="N20" s="1"/>
      <c r="O20" s="1"/>
      <c r="P20" s="1"/>
      <c r="Q20" s="1"/>
      <c r="R20" s="1"/>
      <c r="S20" s="1"/>
      <c r="T20" s="1"/>
      <c r="U20" s="1"/>
    </row>
    <row r="21" spans="1:21" ht="18.95" customHeight="1" x14ac:dyDescent="0.2">
      <c r="A21" s="1"/>
      <c r="B21" s="1"/>
      <c r="C21" s="1"/>
      <c r="D21" s="1"/>
      <c r="E21" s="1"/>
      <c r="F21" s="1"/>
      <c r="G21" s="1"/>
      <c r="H21" s="1"/>
      <c r="I21" s="1"/>
      <c r="J21" s="1"/>
      <c r="K21" s="1"/>
      <c r="L21" s="1"/>
      <c r="M21" s="1"/>
      <c r="N21" s="1"/>
      <c r="O21" s="1"/>
      <c r="P21" s="1"/>
      <c r="Q21" s="1"/>
      <c r="R21" s="1"/>
      <c r="S21" s="1"/>
      <c r="T21" s="1"/>
      <c r="U21" s="1"/>
    </row>
    <row r="22" spans="1:21" ht="18.95" customHeight="1" x14ac:dyDescent="0.2">
      <c r="A22" s="1"/>
      <c r="B22" s="1"/>
      <c r="C22" s="1"/>
      <c r="D22" s="1"/>
      <c r="E22" s="1"/>
      <c r="F22" s="1"/>
      <c r="G22" s="1"/>
      <c r="H22" s="1"/>
      <c r="I22" s="1"/>
      <c r="J22" s="1"/>
      <c r="K22" s="1"/>
      <c r="L22" s="1"/>
      <c r="M22" s="1"/>
      <c r="N22" s="1"/>
      <c r="O22" s="1"/>
      <c r="P22" s="1"/>
      <c r="Q22" s="1"/>
      <c r="R22" s="1"/>
      <c r="S22" s="1"/>
      <c r="T22" s="1"/>
      <c r="U22" s="1"/>
    </row>
    <row r="23" spans="1:21" ht="18.95" customHeight="1" x14ac:dyDescent="0.2">
      <c r="A23" s="1"/>
      <c r="B23" s="1"/>
      <c r="C23" s="1"/>
      <c r="D23" s="1"/>
      <c r="E23" s="1"/>
      <c r="F23" s="1"/>
      <c r="G23" s="1"/>
      <c r="H23" s="1"/>
      <c r="I23" s="1"/>
      <c r="J23" s="1"/>
      <c r="K23" s="1"/>
      <c r="L23" s="1"/>
      <c r="M23" s="1"/>
      <c r="N23" s="1"/>
      <c r="O23" s="1"/>
      <c r="P23" s="1"/>
      <c r="Q23" s="1"/>
      <c r="R23" s="1"/>
      <c r="S23" s="1"/>
      <c r="T23" s="1"/>
      <c r="U23" s="1"/>
    </row>
    <row r="24" spans="1:21" ht="18.95" customHeight="1" x14ac:dyDescent="0.2">
      <c r="A24" s="1"/>
      <c r="B24" s="1"/>
      <c r="C24" s="1"/>
      <c r="D24" s="1"/>
      <c r="E24" s="1"/>
      <c r="F24" s="1"/>
      <c r="G24" s="1"/>
      <c r="H24" s="1"/>
      <c r="I24" s="1"/>
      <c r="J24" s="1"/>
      <c r="K24" s="1"/>
      <c r="L24" s="1"/>
      <c r="M24" s="1"/>
      <c r="N24" s="1"/>
      <c r="O24" s="1"/>
      <c r="P24" s="1"/>
      <c r="Q24" s="1"/>
      <c r="R24" s="1"/>
      <c r="S24" s="1"/>
      <c r="T24" s="1"/>
      <c r="U24" s="1"/>
    </row>
    <row r="25" spans="1:21" ht="18.95" customHeight="1" x14ac:dyDescent="0.2">
      <c r="A25" s="1"/>
      <c r="B25" s="1"/>
      <c r="C25" s="1"/>
      <c r="D25" s="1"/>
      <c r="E25" s="1"/>
      <c r="F25" s="1"/>
      <c r="G25" s="1"/>
      <c r="H25" s="1"/>
      <c r="I25" s="1"/>
      <c r="J25" s="1"/>
      <c r="K25" s="1"/>
      <c r="L25" s="1"/>
      <c r="M25" s="1"/>
      <c r="N25" s="1"/>
      <c r="O25" s="1"/>
      <c r="P25" s="1"/>
      <c r="Q25" s="1"/>
      <c r="R25" s="1"/>
      <c r="S25" s="1"/>
      <c r="T25" s="1"/>
      <c r="U25" s="1"/>
    </row>
    <row r="26" spans="1:21" ht="18.95" customHeight="1" x14ac:dyDescent="0.2">
      <c r="A26" s="1"/>
      <c r="B26" s="1"/>
      <c r="C26" s="1"/>
      <c r="D26" s="1"/>
      <c r="E26" s="1"/>
      <c r="F26" s="1"/>
      <c r="G26" s="1"/>
      <c r="H26" s="1"/>
      <c r="I26" s="1"/>
      <c r="J26" s="1"/>
      <c r="K26" s="1"/>
      <c r="L26" s="1"/>
      <c r="M26" s="1"/>
      <c r="N26" s="1"/>
      <c r="O26" s="1"/>
      <c r="P26" s="1"/>
      <c r="Q26" s="1"/>
      <c r="R26" s="1"/>
      <c r="S26" s="1"/>
      <c r="T26" s="1"/>
      <c r="U26" s="1"/>
    </row>
    <row r="27" spans="1:21" x14ac:dyDescent="0.2">
      <c r="A27" s="1"/>
      <c r="B27" s="1"/>
      <c r="C27" s="1"/>
      <c r="D27" s="1"/>
      <c r="E27" s="1"/>
      <c r="F27" s="1"/>
      <c r="G27" s="1"/>
      <c r="H27" s="1"/>
      <c r="I27" s="1"/>
      <c r="J27" s="1"/>
      <c r="K27" s="1"/>
      <c r="L27" s="1"/>
      <c r="M27" s="1"/>
      <c r="N27" s="1"/>
      <c r="O27" s="1"/>
      <c r="P27" s="1"/>
      <c r="Q27" s="1"/>
      <c r="R27" s="1"/>
      <c r="S27" s="1"/>
      <c r="T27" s="1"/>
      <c r="U27" s="1"/>
    </row>
    <row r="28" spans="1:21" x14ac:dyDescent="0.2">
      <c r="A28" s="1"/>
      <c r="B28" s="1"/>
      <c r="C28" s="1"/>
      <c r="D28" s="1"/>
      <c r="E28" s="1"/>
      <c r="F28" s="1"/>
      <c r="G28" s="1"/>
      <c r="H28" s="1"/>
      <c r="I28" s="1"/>
      <c r="J28" s="1"/>
      <c r="K28" s="1"/>
      <c r="L28" s="1"/>
      <c r="M28" s="1"/>
      <c r="N28" s="1"/>
      <c r="O28" s="1"/>
      <c r="P28" s="1"/>
      <c r="Q28" s="1"/>
      <c r="R28" s="1"/>
      <c r="S28" s="1"/>
      <c r="T28" s="1"/>
      <c r="U28" s="1"/>
    </row>
    <row r="29" spans="1:21" x14ac:dyDescent="0.2">
      <c r="A29" s="1"/>
      <c r="B29" s="1"/>
      <c r="C29" s="1"/>
      <c r="D29" s="1"/>
      <c r="E29" s="1"/>
      <c r="F29" s="1"/>
      <c r="G29" s="1"/>
      <c r="H29" s="1"/>
      <c r="I29" s="1"/>
      <c r="J29" s="1"/>
      <c r="K29" s="1"/>
      <c r="L29" s="1"/>
      <c r="M29" s="1"/>
      <c r="N29" s="1"/>
      <c r="O29" s="1"/>
      <c r="P29" s="1"/>
      <c r="Q29" s="1"/>
      <c r="R29" s="1"/>
      <c r="S29" s="1"/>
      <c r="T29" s="1"/>
      <c r="U29" s="1"/>
    </row>
    <row r="30" spans="1:21" x14ac:dyDescent="0.2">
      <c r="A30" s="1"/>
      <c r="B30" s="1"/>
      <c r="C30" s="1"/>
      <c r="D30" s="1"/>
      <c r="E30" s="1"/>
      <c r="F30" s="1"/>
      <c r="G30" s="1"/>
      <c r="H30" s="1"/>
      <c r="I30" s="1"/>
      <c r="J30" s="1"/>
      <c r="K30" s="1"/>
      <c r="L30" s="1"/>
      <c r="M30" s="1"/>
      <c r="N30" s="1"/>
      <c r="O30" s="1"/>
      <c r="P30" s="1"/>
      <c r="Q30" s="1"/>
      <c r="R30" s="1"/>
      <c r="S30" s="1"/>
      <c r="T30" s="1"/>
      <c r="U30" s="1"/>
    </row>
    <row r="31" spans="1:21" x14ac:dyDescent="0.2">
      <c r="A31" s="1"/>
      <c r="B31" s="1"/>
      <c r="C31" s="1"/>
      <c r="D31" s="1"/>
      <c r="E31" s="1"/>
      <c r="F31" s="1"/>
      <c r="G31" s="1"/>
      <c r="H31" s="1"/>
      <c r="I31" s="1"/>
      <c r="J31" s="1"/>
      <c r="K31" s="1"/>
      <c r="L31" s="1"/>
      <c r="M31" s="1"/>
      <c r="N31" s="1"/>
      <c r="O31" s="1"/>
      <c r="P31" s="1"/>
      <c r="Q31" s="1"/>
      <c r="R31" s="1"/>
      <c r="S31" s="1"/>
      <c r="T31" s="1"/>
      <c r="U31" s="1"/>
    </row>
    <row r="32" spans="1:21" x14ac:dyDescent="0.2">
      <c r="A32" s="1"/>
      <c r="B32" s="1"/>
      <c r="C32" s="1"/>
      <c r="D32" s="1"/>
      <c r="E32" s="1"/>
      <c r="F32" s="1"/>
      <c r="G32" s="1"/>
      <c r="H32" s="1"/>
      <c r="I32" s="1"/>
      <c r="J32" s="1"/>
      <c r="K32" s="1"/>
      <c r="L32" s="1"/>
      <c r="M32" s="1"/>
      <c r="N32" s="1"/>
      <c r="O32" s="1"/>
      <c r="P32" s="1"/>
      <c r="Q32" s="1"/>
      <c r="R32" s="1"/>
      <c r="S32" s="1"/>
      <c r="T32" s="1"/>
      <c r="U32" s="1"/>
    </row>
    <row r="37" spans="7:9" x14ac:dyDescent="0.2">
      <c r="G37" s="1"/>
    </row>
    <row r="48" spans="7:9" x14ac:dyDescent="0.2">
      <c r="I48" s="1"/>
    </row>
  </sheetData>
  <mergeCells count="9">
    <mergeCell ref="H13:J13"/>
    <mergeCell ref="B14:J14"/>
    <mergeCell ref="A4:A5"/>
    <mergeCell ref="B4:D4"/>
    <mergeCell ref="E4:G4"/>
    <mergeCell ref="H4:J4"/>
    <mergeCell ref="B13:D13"/>
    <mergeCell ref="E13:G13"/>
    <mergeCell ref="A13:A14"/>
  </mergeCells>
  <printOptions horizontalCentered="1"/>
  <pageMargins left="0.23622047244094491" right="0.23622047244094491" top="0.74803149606299213" bottom="0.74803149606299213" header="0.31496062992125984" footer="0.31496062992125984"/>
  <pageSetup paperSize="9" orientation="portrait" verticalDpi="0" r:id="rId1"/>
  <ignoredErrors>
    <ignoredError sqref="B9:C9 H9:I9 E9:F9 D9 G9 J9" formulaRange="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774C-D7D7-4218-B181-2175F3BB76EA}">
  <sheetPr>
    <pageSetUpPr fitToPage="1"/>
  </sheetPr>
  <dimension ref="A1:AA48"/>
  <sheetViews>
    <sheetView showGridLines="0" zoomScaleNormal="100" workbookViewId="0"/>
  </sheetViews>
  <sheetFormatPr defaultColWidth="9.140625" defaultRowHeight="12" x14ac:dyDescent="0.2"/>
  <cols>
    <col min="1" max="1" width="18.7109375" style="3" customWidth="1"/>
    <col min="2" max="6" width="9.7109375" style="3" customWidth="1"/>
    <col min="7" max="7" width="4.42578125" style="3" customWidth="1"/>
    <col min="8" max="16384" width="9.140625" style="3"/>
  </cols>
  <sheetData>
    <row r="1" spans="1:27" ht="6.75" customHeight="1" x14ac:dyDescent="0.2"/>
    <row r="2" spans="1:27" ht="18.95" customHeight="1" x14ac:dyDescent="0.25">
      <c r="A2" s="13" t="s">
        <v>217</v>
      </c>
      <c r="B2" s="14"/>
      <c r="C2" s="2"/>
      <c r="D2" s="2"/>
      <c r="E2" s="2"/>
      <c r="F2" s="2"/>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2"/>
      <c r="G3" s="1"/>
      <c r="H3" s="1"/>
      <c r="I3" s="1"/>
      <c r="J3" s="1"/>
      <c r="K3" s="1"/>
      <c r="L3" s="1"/>
      <c r="M3" s="1"/>
      <c r="N3" s="1"/>
      <c r="O3" s="1"/>
      <c r="P3" s="1"/>
      <c r="Q3" s="1"/>
      <c r="R3" s="1"/>
      <c r="S3" s="1"/>
      <c r="T3" s="1"/>
      <c r="U3" s="1"/>
      <c r="V3" s="1"/>
      <c r="W3" s="1"/>
      <c r="X3" s="1"/>
      <c r="Y3" s="1"/>
      <c r="Z3" s="1"/>
      <c r="AA3" s="1"/>
    </row>
    <row r="4" spans="1:27" ht="18.95" customHeight="1" x14ac:dyDescent="0.2">
      <c r="A4" s="257" t="str">
        <f>+'1'!A4</f>
        <v>Janeiro-setembro</v>
      </c>
      <c r="B4" s="277" t="s">
        <v>131</v>
      </c>
      <c r="C4" s="278"/>
      <c r="D4" s="278"/>
      <c r="E4" s="278"/>
      <c r="F4" s="278"/>
      <c r="G4" s="1"/>
      <c r="H4" s="1"/>
      <c r="I4" s="1"/>
      <c r="J4" s="1"/>
      <c r="K4" s="1"/>
      <c r="L4" s="1"/>
      <c r="M4" s="1"/>
      <c r="N4" s="1"/>
      <c r="O4" s="1"/>
      <c r="P4" s="1"/>
      <c r="Q4" s="1"/>
      <c r="R4" s="1"/>
      <c r="S4" s="1"/>
      <c r="T4" s="1"/>
      <c r="U4" s="1"/>
      <c r="V4" s="1"/>
      <c r="W4" s="1"/>
      <c r="X4" s="1"/>
      <c r="Y4" s="1"/>
      <c r="Z4" s="1"/>
      <c r="AA4" s="1"/>
    </row>
    <row r="5" spans="1:27" ht="30" customHeight="1" x14ac:dyDescent="0.2">
      <c r="A5" s="258"/>
      <c r="B5" s="36">
        <v>2019</v>
      </c>
      <c r="C5" s="37">
        <v>2024</v>
      </c>
      <c r="D5" s="38">
        <v>2025</v>
      </c>
      <c r="E5" s="39" t="s">
        <v>175</v>
      </c>
      <c r="F5" s="39" t="s">
        <v>177</v>
      </c>
      <c r="G5" s="1"/>
      <c r="H5" s="1"/>
      <c r="I5" s="1"/>
      <c r="J5" s="1"/>
      <c r="K5" s="1"/>
      <c r="L5" s="1"/>
      <c r="M5" s="1"/>
      <c r="N5" s="1"/>
      <c r="O5" s="1"/>
      <c r="P5" s="1"/>
      <c r="Q5" s="1"/>
      <c r="R5" s="1"/>
      <c r="S5" s="1"/>
      <c r="T5" s="1"/>
      <c r="U5" s="1"/>
      <c r="V5" s="1"/>
      <c r="W5" s="1"/>
      <c r="X5" s="1"/>
      <c r="Y5" s="1"/>
      <c r="Z5" s="1"/>
      <c r="AA5" s="1"/>
    </row>
    <row r="6" spans="1:27" ht="18.95" customHeight="1" x14ac:dyDescent="0.2">
      <c r="A6" s="24" t="s">
        <v>134</v>
      </c>
      <c r="B6" s="105">
        <v>33307</v>
      </c>
      <c r="C6" s="92">
        <v>32252</v>
      </c>
      <c r="D6" s="148">
        <v>33025</v>
      </c>
      <c r="E6" s="173">
        <f>(D6/B6)-1</f>
        <v>-8.4666886840604194E-3</v>
      </c>
      <c r="F6" s="94">
        <f>(D6/C6)-1</f>
        <v>2.3967505891107521E-2</v>
      </c>
      <c r="G6" s="1"/>
      <c r="H6" s="1"/>
      <c r="I6" s="1"/>
      <c r="J6" s="1"/>
      <c r="K6" s="1"/>
      <c r="L6" s="1"/>
      <c r="M6" s="1"/>
      <c r="N6" s="1"/>
      <c r="O6" s="1"/>
      <c r="P6" s="1"/>
      <c r="Q6" s="1"/>
      <c r="R6" s="1"/>
      <c r="S6" s="1"/>
      <c r="T6" s="1"/>
      <c r="U6" s="1"/>
      <c r="V6" s="1"/>
      <c r="W6" s="1"/>
      <c r="X6" s="1"/>
      <c r="Y6" s="1"/>
      <c r="Z6" s="1"/>
      <c r="AA6" s="1"/>
    </row>
    <row r="7" spans="1:27" ht="18.95" customHeight="1" x14ac:dyDescent="0.2">
      <c r="A7" s="24" t="s">
        <v>135</v>
      </c>
      <c r="B7" s="105">
        <v>1231</v>
      </c>
      <c r="C7" s="92">
        <v>1288</v>
      </c>
      <c r="D7" s="148">
        <v>1321</v>
      </c>
      <c r="E7" s="173">
        <f t="shared" ref="E7:E13" si="0">(D7/B7)-1</f>
        <v>7.3111291632818931E-2</v>
      </c>
      <c r="F7" s="94">
        <f t="shared" ref="F7:F12" si="1">(D7/C7)-1</f>
        <v>2.5621118012422395E-2</v>
      </c>
      <c r="G7" s="1"/>
      <c r="H7" s="1"/>
      <c r="I7" s="1"/>
      <c r="J7" s="1"/>
      <c r="K7" s="1"/>
      <c r="L7" s="1"/>
      <c r="M7" s="1"/>
      <c r="N7" s="1"/>
      <c r="O7" s="1"/>
      <c r="P7" s="1"/>
      <c r="Q7" s="1"/>
      <c r="R7" s="1"/>
      <c r="S7" s="1"/>
      <c r="T7" s="1"/>
      <c r="U7" s="1"/>
      <c r="V7" s="1"/>
      <c r="W7" s="1"/>
      <c r="X7" s="1"/>
      <c r="Y7" s="1"/>
      <c r="Z7" s="1"/>
      <c r="AA7" s="1"/>
    </row>
    <row r="8" spans="1:27" ht="18.95" customHeight="1" x14ac:dyDescent="0.2">
      <c r="A8" s="24" t="s">
        <v>130</v>
      </c>
      <c r="B8" s="105">
        <v>1936</v>
      </c>
      <c r="C8" s="92">
        <v>1338</v>
      </c>
      <c r="D8" s="148">
        <v>1175</v>
      </c>
      <c r="E8" s="173">
        <f t="shared" si="0"/>
        <v>-0.39307851239669422</v>
      </c>
      <c r="F8" s="94">
        <f t="shared" si="1"/>
        <v>-0.12182361733931235</v>
      </c>
      <c r="G8" s="1"/>
      <c r="H8" s="1"/>
      <c r="I8" s="1"/>
      <c r="J8" s="1"/>
      <c r="K8" s="1"/>
      <c r="L8" s="1"/>
      <c r="M8" s="1"/>
      <c r="N8" s="1"/>
      <c r="O8" s="1"/>
      <c r="P8" s="1"/>
      <c r="Q8" s="1"/>
      <c r="R8" s="1"/>
      <c r="S8" s="1"/>
      <c r="T8" s="1"/>
      <c r="U8" s="1"/>
      <c r="V8" s="1"/>
      <c r="W8" s="1"/>
      <c r="X8" s="1"/>
      <c r="Y8" s="1"/>
      <c r="Z8" s="1"/>
      <c r="AA8" s="1"/>
    </row>
    <row r="9" spans="1:27" ht="18.95" customHeight="1" x14ac:dyDescent="0.2">
      <c r="A9" s="24" t="s">
        <v>129</v>
      </c>
      <c r="B9" s="105">
        <v>5905</v>
      </c>
      <c r="C9" s="92">
        <v>7775</v>
      </c>
      <c r="D9" s="148">
        <v>8006</v>
      </c>
      <c r="E9" s="173">
        <f t="shared" si="0"/>
        <v>0.35580016934801018</v>
      </c>
      <c r="F9" s="94">
        <f t="shared" si="1"/>
        <v>2.9710610932475845E-2</v>
      </c>
      <c r="G9" s="1"/>
      <c r="H9" s="1"/>
      <c r="I9" s="1"/>
      <c r="J9" s="1"/>
      <c r="K9" s="1"/>
      <c r="L9" s="1"/>
      <c r="M9" s="1"/>
      <c r="N9" s="1"/>
      <c r="O9" s="1"/>
      <c r="P9" s="1"/>
      <c r="Q9" s="1"/>
      <c r="R9" s="1"/>
      <c r="S9" s="1"/>
      <c r="T9" s="1"/>
      <c r="U9" s="1"/>
      <c r="V9" s="1"/>
      <c r="W9" s="1"/>
      <c r="X9" s="1"/>
      <c r="Y9" s="1"/>
      <c r="Z9" s="1"/>
      <c r="AA9" s="1"/>
    </row>
    <row r="10" spans="1:27" ht="18.95" customHeight="1" x14ac:dyDescent="0.2">
      <c r="A10" s="24" t="s">
        <v>104</v>
      </c>
      <c r="B10" s="105">
        <v>1893</v>
      </c>
      <c r="C10" s="92">
        <v>2784</v>
      </c>
      <c r="D10" s="148">
        <v>3257</v>
      </c>
      <c r="E10" s="173">
        <f t="shared" si="0"/>
        <v>0.72054939249867944</v>
      </c>
      <c r="F10" s="94">
        <f t="shared" si="1"/>
        <v>0.16989942528735624</v>
      </c>
      <c r="G10" s="1"/>
      <c r="H10" s="1"/>
      <c r="I10" s="1"/>
      <c r="J10" s="1"/>
      <c r="K10" s="1"/>
      <c r="L10" s="1"/>
      <c r="M10" s="1"/>
      <c r="N10" s="1"/>
      <c r="O10" s="1"/>
      <c r="P10" s="1"/>
      <c r="Q10" s="1"/>
      <c r="R10" s="1"/>
      <c r="S10" s="1"/>
      <c r="T10" s="1"/>
      <c r="U10" s="1"/>
      <c r="V10" s="1"/>
      <c r="W10" s="1"/>
      <c r="X10" s="1"/>
      <c r="Y10" s="1"/>
      <c r="Z10" s="1"/>
      <c r="AA10" s="1"/>
    </row>
    <row r="11" spans="1:27" ht="18.95" customHeight="1" x14ac:dyDescent="0.2">
      <c r="A11" s="24" t="s">
        <v>105</v>
      </c>
      <c r="B11" s="105">
        <v>172</v>
      </c>
      <c r="C11" s="92">
        <v>186</v>
      </c>
      <c r="D11" s="148">
        <v>178</v>
      </c>
      <c r="E11" s="173">
        <f t="shared" si="0"/>
        <v>3.488372093023262E-2</v>
      </c>
      <c r="F11" s="94">
        <f t="shared" si="1"/>
        <v>-4.3010752688172005E-2</v>
      </c>
      <c r="G11" s="1"/>
      <c r="H11" s="1"/>
      <c r="I11" s="1"/>
      <c r="J11" s="1"/>
      <c r="K11" s="1"/>
      <c r="L11" s="1"/>
      <c r="M11" s="1"/>
      <c r="N11" s="1"/>
      <c r="O11" s="1"/>
      <c r="P11" s="1"/>
      <c r="Q11" s="1"/>
      <c r="R11" s="1"/>
      <c r="S11" s="1"/>
      <c r="T11" s="1"/>
      <c r="U11" s="1"/>
      <c r="V11" s="1"/>
      <c r="W11" s="1"/>
      <c r="X11" s="1"/>
      <c r="Y11" s="1"/>
      <c r="Z11" s="1"/>
      <c r="AA11" s="1"/>
    </row>
    <row r="12" spans="1:27" ht="18.95" customHeight="1" x14ac:dyDescent="0.2">
      <c r="A12" s="24" t="s">
        <v>170</v>
      </c>
      <c r="B12" s="105">
        <v>570</v>
      </c>
      <c r="C12" s="92">
        <v>605</v>
      </c>
      <c r="D12" s="148">
        <v>648</v>
      </c>
      <c r="E12" s="173">
        <f t="shared" si="0"/>
        <v>0.13684210526315788</v>
      </c>
      <c r="F12" s="94">
        <f t="shared" si="1"/>
        <v>7.107438016528933E-2</v>
      </c>
      <c r="G12" s="1"/>
      <c r="H12" s="1"/>
      <c r="I12" s="1"/>
      <c r="J12" s="1"/>
      <c r="K12" s="1"/>
      <c r="L12" s="1"/>
      <c r="M12" s="1"/>
      <c r="N12" s="1"/>
      <c r="O12" s="1"/>
      <c r="P12" s="1"/>
      <c r="Q12" s="1"/>
      <c r="R12" s="1"/>
      <c r="S12" s="1"/>
      <c r="T12" s="1"/>
      <c r="U12" s="1"/>
      <c r="V12" s="1"/>
      <c r="W12" s="1"/>
      <c r="X12" s="1"/>
      <c r="Y12" s="1"/>
      <c r="Z12" s="1"/>
      <c r="AA12" s="1"/>
    </row>
    <row r="13" spans="1:27" ht="18.95" customHeight="1" thickBot="1" x14ac:dyDescent="0.25">
      <c r="A13" s="11" t="s">
        <v>35</v>
      </c>
      <c r="B13" s="131">
        <f>SUM(B6:B12)</f>
        <v>45014</v>
      </c>
      <c r="C13" s="132">
        <f>SUM(C6:C12)</f>
        <v>46228</v>
      </c>
      <c r="D13" s="143">
        <f>SUM(D6:D12)</f>
        <v>47610</v>
      </c>
      <c r="E13" s="174">
        <f t="shared" si="0"/>
        <v>5.7670946816545943E-2</v>
      </c>
      <c r="F13" s="134">
        <f>(D13/C13)-1</f>
        <v>2.9895301548844788E-2</v>
      </c>
      <c r="G13" s="1"/>
      <c r="H13" s="1"/>
      <c r="I13" s="1"/>
      <c r="J13" s="1"/>
      <c r="K13" s="1"/>
      <c r="L13" s="1"/>
      <c r="M13" s="1"/>
      <c r="N13" s="1"/>
      <c r="O13" s="1"/>
      <c r="P13" s="1"/>
      <c r="Q13" s="1"/>
      <c r="R13" s="1"/>
      <c r="S13" s="1"/>
      <c r="T13" s="1"/>
      <c r="U13" s="1"/>
      <c r="V13" s="1"/>
      <c r="W13" s="1"/>
      <c r="X13" s="1"/>
      <c r="Y13" s="1"/>
      <c r="Z13" s="1"/>
      <c r="AA13" s="1"/>
    </row>
    <row r="14" spans="1:27" ht="13.5" customHeight="1" x14ac:dyDescent="0.2">
      <c r="A14" s="85" t="s">
        <v>172</v>
      </c>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8.9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8.9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8.9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2">
    <mergeCell ref="A4:A5"/>
    <mergeCell ref="B4:F4"/>
  </mergeCells>
  <printOptions horizontalCentered="1"/>
  <pageMargins left="0.23622047244094491" right="0.23622047244094491" top="0.74803149606299213" bottom="0.74803149606299213" header="0.31496062992125984" footer="0.31496062992125984"/>
  <pageSetup paperSize="9" orientation="portrait" verticalDpi="0" r:id="rId1"/>
  <ignoredErrors>
    <ignoredError sqref="B13:D13" formulaRange="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A88C-8021-47E8-8046-8221D91C3710}">
  <sheetPr>
    <pageSetUpPr fitToPage="1"/>
  </sheetPr>
  <dimension ref="A1:AA49"/>
  <sheetViews>
    <sheetView showGridLines="0" zoomScaleNormal="100" workbookViewId="0"/>
  </sheetViews>
  <sheetFormatPr defaultColWidth="9.140625" defaultRowHeight="12" x14ac:dyDescent="0.2"/>
  <cols>
    <col min="1" max="1" width="18.7109375" style="3" customWidth="1"/>
    <col min="2" max="13" width="7.85546875" style="3" customWidth="1"/>
    <col min="14" max="14" width="3.5703125" style="3" customWidth="1"/>
    <col min="15" max="16384" width="9.140625" style="3"/>
  </cols>
  <sheetData>
    <row r="1" spans="1:27" ht="6" customHeight="1" x14ac:dyDescent="0.2"/>
    <row r="2" spans="1:27" ht="18.95" customHeight="1" x14ac:dyDescent="0.25">
      <c r="A2" s="13" t="s">
        <v>195</v>
      </c>
      <c r="B2" s="14"/>
      <c r="C2" s="2"/>
      <c r="D2" s="2"/>
      <c r="E2" s="2"/>
      <c r="F2" s="1"/>
      <c r="G2" s="1"/>
      <c r="H2" s="1"/>
      <c r="I2" s="1"/>
      <c r="J2" s="1"/>
      <c r="K2" s="1"/>
      <c r="L2" s="1"/>
      <c r="M2" s="1" t="s">
        <v>153</v>
      </c>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18.95" customHeight="1" x14ac:dyDescent="0.2">
      <c r="A4" s="271" t="str">
        <f>+'1'!A4</f>
        <v>Janeiro-setembro</v>
      </c>
      <c r="B4" s="259" t="s">
        <v>31</v>
      </c>
      <c r="C4" s="260"/>
      <c r="D4" s="261"/>
      <c r="E4" s="260" t="s">
        <v>18</v>
      </c>
      <c r="F4" s="260"/>
      <c r="G4" s="260"/>
      <c r="H4" s="259" t="s">
        <v>20</v>
      </c>
      <c r="I4" s="260"/>
      <c r="J4" s="261"/>
      <c r="K4" s="260" t="s">
        <v>141</v>
      </c>
      <c r="L4" s="260"/>
      <c r="M4" s="260"/>
      <c r="N4" s="1"/>
      <c r="O4" s="1"/>
      <c r="P4" s="1"/>
      <c r="Q4" s="1"/>
      <c r="R4" s="1"/>
      <c r="S4" s="1"/>
      <c r="T4" s="1"/>
      <c r="U4" s="1"/>
      <c r="V4" s="1"/>
      <c r="W4" s="1"/>
      <c r="X4" s="1"/>
      <c r="Y4" s="1"/>
      <c r="Z4" s="1"/>
      <c r="AA4" s="1"/>
    </row>
    <row r="5" spans="1:27" ht="30" customHeight="1" x14ac:dyDescent="0.2">
      <c r="A5" s="271"/>
      <c r="B5" s="88">
        <v>2019</v>
      </c>
      <c r="C5" s="88">
        <v>2024</v>
      </c>
      <c r="D5" s="88">
        <v>2025</v>
      </c>
      <c r="E5" s="88">
        <v>2019</v>
      </c>
      <c r="F5" s="88">
        <v>2024</v>
      </c>
      <c r="G5" s="88">
        <v>2025</v>
      </c>
      <c r="H5" s="88">
        <v>2019</v>
      </c>
      <c r="I5" s="88">
        <v>2024</v>
      </c>
      <c r="J5" s="88">
        <v>2025</v>
      </c>
      <c r="K5" s="88">
        <v>2019</v>
      </c>
      <c r="L5" s="88">
        <v>2024</v>
      </c>
      <c r="M5" s="88">
        <v>2025</v>
      </c>
      <c r="N5" s="1"/>
      <c r="O5" s="1"/>
      <c r="P5" s="1"/>
      <c r="Q5" s="1"/>
      <c r="R5" s="1"/>
      <c r="S5" s="1"/>
      <c r="T5" s="1"/>
      <c r="U5" s="1"/>
      <c r="V5" s="1"/>
      <c r="W5" s="1"/>
      <c r="X5" s="1"/>
      <c r="Y5" s="1"/>
      <c r="Z5" s="1"/>
      <c r="AA5" s="1"/>
    </row>
    <row r="6" spans="1:27" ht="17.100000000000001" customHeight="1" x14ac:dyDescent="0.2">
      <c r="A6" s="31" t="s">
        <v>103</v>
      </c>
      <c r="B6" s="175">
        <v>52</v>
      </c>
      <c r="C6" s="139">
        <v>53</v>
      </c>
      <c r="D6" s="140">
        <v>27</v>
      </c>
      <c r="E6" s="141">
        <v>380</v>
      </c>
      <c r="F6" s="141">
        <v>342</v>
      </c>
      <c r="G6" s="141">
        <v>278</v>
      </c>
      <c r="H6" s="138">
        <v>3732</v>
      </c>
      <c r="I6" s="139">
        <v>3433</v>
      </c>
      <c r="J6" s="140">
        <v>3442</v>
      </c>
      <c r="K6" s="141">
        <f>B6+E6+H6</f>
        <v>4164</v>
      </c>
      <c r="L6" s="141">
        <f t="shared" ref="L6:M6" si="0">C6+F6+I6</f>
        <v>3828</v>
      </c>
      <c r="M6" s="141">
        <f t="shared" si="0"/>
        <v>3747</v>
      </c>
      <c r="N6" s="1"/>
      <c r="O6" s="1"/>
      <c r="P6" s="1"/>
      <c r="Q6" s="1"/>
      <c r="R6" s="1"/>
      <c r="S6" s="1"/>
      <c r="T6" s="1"/>
      <c r="U6" s="1"/>
      <c r="V6" s="1"/>
      <c r="W6" s="1"/>
      <c r="X6" s="1"/>
      <c r="Y6" s="1"/>
      <c r="Z6" s="1"/>
      <c r="AA6" s="1"/>
    </row>
    <row r="7" spans="1:27" ht="17.100000000000001" customHeight="1" x14ac:dyDescent="0.2">
      <c r="A7" s="24" t="s">
        <v>134</v>
      </c>
      <c r="B7" s="176">
        <v>177</v>
      </c>
      <c r="C7" s="141">
        <v>163</v>
      </c>
      <c r="D7" s="142">
        <v>157</v>
      </c>
      <c r="E7" s="141">
        <v>774</v>
      </c>
      <c r="F7" s="141">
        <v>735</v>
      </c>
      <c r="G7" s="141">
        <v>821</v>
      </c>
      <c r="H7" s="105">
        <v>19548</v>
      </c>
      <c r="I7" s="141">
        <v>17710</v>
      </c>
      <c r="J7" s="142">
        <v>17940</v>
      </c>
      <c r="K7" s="141">
        <f t="shared" ref="K7:K13" si="1">B7+E7+H7</f>
        <v>20499</v>
      </c>
      <c r="L7" s="141">
        <f t="shared" ref="L7:L13" si="2">C7+F7+I7</f>
        <v>18608</v>
      </c>
      <c r="M7" s="141">
        <f t="shared" ref="M7:M13" si="3">D7+G7+J7</f>
        <v>18918</v>
      </c>
      <c r="N7" s="1"/>
      <c r="O7" s="1"/>
      <c r="P7" s="1"/>
      <c r="Q7" s="1"/>
      <c r="R7" s="1"/>
      <c r="S7" s="1"/>
      <c r="T7" s="1"/>
      <c r="U7" s="1"/>
      <c r="V7" s="1"/>
      <c r="W7" s="1"/>
      <c r="X7" s="1"/>
      <c r="Y7" s="1"/>
      <c r="Z7" s="1"/>
      <c r="AA7" s="1"/>
    </row>
    <row r="8" spans="1:27" ht="17.100000000000001" customHeight="1" x14ac:dyDescent="0.2">
      <c r="A8" s="24" t="s">
        <v>135</v>
      </c>
      <c r="B8" s="176">
        <v>35</v>
      </c>
      <c r="C8" s="141">
        <v>3</v>
      </c>
      <c r="D8" s="142">
        <v>7</v>
      </c>
      <c r="E8" s="141">
        <v>40</v>
      </c>
      <c r="F8" s="141">
        <v>17</v>
      </c>
      <c r="G8" s="141">
        <v>45</v>
      </c>
      <c r="H8" s="105">
        <v>462</v>
      </c>
      <c r="I8" s="141">
        <v>438</v>
      </c>
      <c r="J8" s="142">
        <v>529</v>
      </c>
      <c r="K8" s="141">
        <f t="shared" si="1"/>
        <v>537</v>
      </c>
      <c r="L8" s="141">
        <f t="shared" si="2"/>
        <v>458</v>
      </c>
      <c r="M8" s="141">
        <f t="shared" si="3"/>
        <v>581</v>
      </c>
      <c r="N8" s="1"/>
      <c r="O8" s="1"/>
      <c r="P8" s="1"/>
      <c r="Q8" s="1"/>
      <c r="R8" s="1"/>
      <c r="S8" s="1"/>
      <c r="T8" s="1"/>
      <c r="U8" s="1"/>
      <c r="V8" s="1"/>
      <c r="W8" s="1"/>
      <c r="X8" s="1"/>
      <c r="Y8" s="1"/>
      <c r="Z8" s="1"/>
      <c r="AA8" s="1"/>
    </row>
    <row r="9" spans="1:27" ht="17.100000000000001" customHeight="1" x14ac:dyDescent="0.2">
      <c r="A9" s="24" t="s">
        <v>130</v>
      </c>
      <c r="B9" s="176">
        <v>25</v>
      </c>
      <c r="C9" s="141">
        <v>15</v>
      </c>
      <c r="D9" s="142">
        <v>9</v>
      </c>
      <c r="E9" s="141">
        <v>129</v>
      </c>
      <c r="F9" s="141">
        <v>113</v>
      </c>
      <c r="G9" s="141">
        <v>89</v>
      </c>
      <c r="H9" s="105">
        <v>1847</v>
      </c>
      <c r="I9" s="141">
        <v>1260</v>
      </c>
      <c r="J9" s="142">
        <v>1116</v>
      </c>
      <c r="K9" s="141">
        <f t="shared" si="1"/>
        <v>2001</v>
      </c>
      <c r="L9" s="141">
        <f t="shared" si="2"/>
        <v>1388</v>
      </c>
      <c r="M9" s="141">
        <f t="shared" si="3"/>
        <v>1214</v>
      </c>
      <c r="N9" s="1"/>
      <c r="O9" s="1"/>
      <c r="P9" s="1"/>
      <c r="Q9" s="1"/>
      <c r="R9" s="1"/>
      <c r="S9" s="1"/>
      <c r="T9" s="1"/>
      <c r="U9" s="1"/>
      <c r="V9" s="1"/>
      <c r="W9" s="1"/>
      <c r="X9" s="1"/>
      <c r="Y9" s="1"/>
      <c r="Z9" s="1"/>
      <c r="AA9" s="1"/>
    </row>
    <row r="10" spans="1:27" ht="17.100000000000001" customHeight="1" x14ac:dyDescent="0.2">
      <c r="A10" s="24" t="s">
        <v>129</v>
      </c>
      <c r="B10" s="176">
        <v>79</v>
      </c>
      <c r="C10" s="141">
        <v>102</v>
      </c>
      <c r="D10" s="142">
        <v>105</v>
      </c>
      <c r="E10" s="141">
        <v>458</v>
      </c>
      <c r="F10" s="141">
        <v>697</v>
      </c>
      <c r="G10" s="141">
        <v>664</v>
      </c>
      <c r="H10" s="105">
        <v>5621</v>
      </c>
      <c r="I10" s="141">
        <v>7321</v>
      </c>
      <c r="J10" s="142">
        <v>7588</v>
      </c>
      <c r="K10" s="141">
        <f t="shared" si="1"/>
        <v>6158</v>
      </c>
      <c r="L10" s="141">
        <f t="shared" si="2"/>
        <v>8120</v>
      </c>
      <c r="M10" s="141">
        <f t="shared" si="3"/>
        <v>8357</v>
      </c>
      <c r="N10" s="1"/>
      <c r="O10" s="1"/>
      <c r="P10" s="1"/>
      <c r="Q10" s="1"/>
      <c r="R10" s="1"/>
      <c r="S10" s="1"/>
      <c r="T10" s="1"/>
      <c r="U10" s="1"/>
      <c r="V10" s="1"/>
      <c r="W10" s="1"/>
      <c r="X10" s="1"/>
      <c r="Y10" s="1"/>
      <c r="Z10" s="1"/>
      <c r="AA10" s="1"/>
    </row>
    <row r="11" spans="1:27" ht="17.100000000000001" customHeight="1" x14ac:dyDescent="0.2">
      <c r="A11" s="24" t="s">
        <v>104</v>
      </c>
      <c r="B11" s="176">
        <v>14</v>
      </c>
      <c r="C11" s="141">
        <v>20</v>
      </c>
      <c r="D11" s="142">
        <v>24</v>
      </c>
      <c r="E11" s="141">
        <v>101</v>
      </c>
      <c r="F11" s="141">
        <v>135</v>
      </c>
      <c r="G11" s="141">
        <v>195</v>
      </c>
      <c r="H11" s="105">
        <v>1684</v>
      </c>
      <c r="I11" s="141">
        <v>2571</v>
      </c>
      <c r="J11" s="142">
        <v>3002</v>
      </c>
      <c r="K11" s="141">
        <f t="shared" si="1"/>
        <v>1799</v>
      </c>
      <c r="L11" s="141">
        <f t="shared" si="2"/>
        <v>2726</v>
      </c>
      <c r="M11" s="141">
        <f t="shared" si="3"/>
        <v>3221</v>
      </c>
      <c r="N11" s="1"/>
      <c r="O11" s="1"/>
      <c r="P11" s="1"/>
      <c r="Q11" s="1"/>
      <c r="R11" s="1"/>
      <c r="S11" s="1"/>
      <c r="T11" s="1"/>
      <c r="U11" s="1"/>
      <c r="V11" s="1"/>
      <c r="W11" s="1"/>
      <c r="X11" s="1"/>
      <c r="Y11" s="1"/>
      <c r="Z11" s="1"/>
      <c r="AA11" s="1"/>
    </row>
    <row r="12" spans="1:27" ht="17.100000000000001" customHeight="1" x14ac:dyDescent="0.2">
      <c r="A12" s="24" t="s">
        <v>105</v>
      </c>
      <c r="B12" s="176">
        <v>9</v>
      </c>
      <c r="C12" s="141">
        <v>11</v>
      </c>
      <c r="D12" s="142">
        <v>5</v>
      </c>
      <c r="E12" s="141">
        <v>23</v>
      </c>
      <c r="F12" s="141">
        <v>23</v>
      </c>
      <c r="G12" s="141">
        <v>23</v>
      </c>
      <c r="H12" s="105">
        <v>76</v>
      </c>
      <c r="I12" s="141">
        <v>102</v>
      </c>
      <c r="J12" s="142">
        <v>101</v>
      </c>
      <c r="K12" s="141">
        <f t="shared" si="1"/>
        <v>108</v>
      </c>
      <c r="L12" s="141">
        <f t="shared" si="2"/>
        <v>136</v>
      </c>
      <c r="M12" s="141">
        <f t="shared" si="3"/>
        <v>129</v>
      </c>
      <c r="N12" s="1"/>
      <c r="O12" s="1"/>
      <c r="P12" s="1"/>
      <c r="Q12" s="1"/>
      <c r="R12" s="1"/>
      <c r="S12" s="1"/>
      <c r="T12" s="1"/>
      <c r="U12" s="1"/>
      <c r="V12" s="1"/>
      <c r="W12" s="1"/>
      <c r="X12" s="1"/>
      <c r="Y12" s="1"/>
      <c r="Z12" s="1"/>
      <c r="AA12" s="1"/>
    </row>
    <row r="13" spans="1:27" ht="17.100000000000001" customHeight="1" x14ac:dyDescent="0.2">
      <c r="A13" s="24" t="s">
        <v>136</v>
      </c>
      <c r="B13" s="176">
        <v>8</v>
      </c>
      <c r="C13" s="141">
        <v>5</v>
      </c>
      <c r="D13" s="142">
        <v>3</v>
      </c>
      <c r="E13" s="141">
        <v>41</v>
      </c>
      <c r="F13" s="141">
        <v>27</v>
      </c>
      <c r="G13" s="141">
        <v>46</v>
      </c>
      <c r="H13" s="105">
        <v>332</v>
      </c>
      <c r="I13" s="141">
        <v>211</v>
      </c>
      <c r="J13" s="142">
        <v>258</v>
      </c>
      <c r="K13" s="141">
        <f t="shared" si="1"/>
        <v>381</v>
      </c>
      <c r="L13" s="141">
        <f t="shared" si="2"/>
        <v>243</v>
      </c>
      <c r="M13" s="141">
        <f t="shared" si="3"/>
        <v>307</v>
      </c>
      <c r="N13" s="1"/>
      <c r="O13" s="1"/>
      <c r="P13" s="1"/>
      <c r="Q13" s="1"/>
      <c r="R13" s="1"/>
      <c r="S13" s="1"/>
      <c r="T13" s="1"/>
      <c r="U13" s="1"/>
      <c r="V13" s="1"/>
      <c r="W13" s="1"/>
      <c r="X13" s="1"/>
      <c r="Y13" s="1"/>
      <c r="Z13" s="1"/>
      <c r="AA13" s="1"/>
    </row>
    <row r="14" spans="1:27" ht="17.100000000000001" customHeight="1" thickBot="1" x14ac:dyDescent="0.25">
      <c r="A14" s="11" t="s">
        <v>35</v>
      </c>
      <c r="B14" s="131">
        <f>SUM(B6:B13)</f>
        <v>399</v>
      </c>
      <c r="C14" s="132">
        <f t="shared" ref="C14:M14" si="4">SUM(C6:C13)</f>
        <v>372</v>
      </c>
      <c r="D14" s="143">
        <f t="shared" si="4"/>
        <v>337</v>
      </c>
      <c r="E14" s="132">
        <f t="shared" si="4"/>
        <v>1946</v>
      </c>
      <c r="F14" s="132">
        <f t="shared" si="4"/>
        <v>2089</v>
      </c>
      <c r="G14" s="132">
        <f t="shared" si="4"/>
        <v>2161</v>
      </c>
      <c r="H14" s="131">
        <f t="shared" si="4"/>
        <v>33302</v>
      </c>
      <c r="I14" s="132">
        <f t="shared" si="4"/>
        <v>33046</v>
      </c>
      <c r="J14" s="143">
        <f t="shared" si="4"/>
        <v>33976</v>
      </c>
      <c r="K14" s="132">
        <f t="shared" si="4"/>
        <v>35647</v>
      </c>
      <c r="L14" s="132">
        <f t="shared" si="4"/>
        <v>35507</v>
      </c>
      <c r="M14" s="132">
        <f t="shared" si="4"/>
        <v>36474</v>
      </c>
      <c r="N14" s="1"/>
      <c r="O14" s="1"/>
      <c r="P14" s="1"/>
      <c r="Q14" s="1"/>
      <c r="R14" s="1"/>
      <c r="S14" s="1"/>
      <c r="T14" s="1"/>
      <c r="U14" s="1"/>
      <c r="V14" s="1"/>
      <c r="W14" s="1"/>
      <c r="X14" s="1"/>
      <c r="Y14" s="1"/>
      <c r="Z14" s="1"/>
      <c r="AA14" s="1"/>
    </row>
    <row r="15" spans="1:27" ht="13.5" customHeight="1" x14ac:dyDescent="0.2">
      <c r="A15" s="85" t="s">
        <v>172</v>
      </c>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85"/>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5">
      <c r="A17" s="13" t="s">
        <v>196</v>
      </c>
      <c r="B17" s="2"/>
      <c r="C17" s="2"/>
      <c r="D17" s="2"/>
      <c r="E17" s="1"/>
      <c r="F17" s="1"/>
      <c r="G17" s="1"/>
      <c r="H17" s="1"/>
      <c r="I17" s="1"/>
      <c r="J17" s="1"/>
      <c r="K17" s="1"/>
      <c r="L17" s="1"/>
      <c r="M17" s="1"/>
      <c r="N17" s="1"/>
      <c r="O17" s="1"/>
      <c r="P17" s="1"/>
      <c r="R17" s="1"/>
      <c r="S17" s="1"/>
      <c r="T17" s="1"/>
      <c r="U17" s="1"/>
      <c r="V17" s="1"/>
      <c r="W17" s="1"/>
      <c r="X17" s="1"/>
      <c r="Y17" s="1"/>
      <c r="Z17" s="1"/>
      <c r="AA17" s="1"/>
    </row>
    <row r="18" spans="1:27" ht="10.5" customHeight="1" thickBot="1" x14ac:dyDescent="0.25">
      <c r="A18" s="2"/>
      <c r="B18" s="2"/>
      <c r="C18" s="2"/>
      <c r="D18" s="2"/>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271" t="str">
        <f>+'1'!A4</f>
        <v>Janeiro-setembro</v>
      </c>
      <c r="B19" s="259" t="s">
        <v>31</v>
      </c>
      <c r="C19" s="260"/>
      <c r="D19" s="261"/>
      <c r="E19" s="260" t="s">
        <v>18</v>
      </c>
      <c r="F19" s="260"/>
      <c r="G19" s="260"/>
      <c r="H19" s="259" t="s">
        <v>20</v>
      </c>
      <c r="I19" s="260"/>
      <c r="J19" s="261"/>
      <c r="K19" s="260" t="s">
        <v>141</v>
      </c>
      <c r="L19" s="260"/>
      <c r="M19" s="260"/>
      <c r="N19" s="1"/>
      <c r="O19" s="1"/>
      <c r="P19" s="1"/>
      <c r="Q19" s="1"/>
      <c r="R19" s="1"/>
      <c r="S19" s="1"/>
      <c r="T19" s="1"/>
      <c r="U19" s="1"/>
      <c r="V19" s="1"/>
      <c r="W19" s="1"/>
      <c r="X19" s="1"/>
      <c r="Y19" s="1"/>
      <c r="Z19" s="1"/>
      <c r="AA19" s="1"/>
    </row>
    <row r="20" spans="1:27" ht="18.95" customHeight="1" x14ac:dyDescent="0.2">
      <c r="A20" s="271"/>
      <c r="B20" s="273" t="s">
        <v>146</v>
      </c>
      <c r="C20" s="272"/>
      <c r="D20" s="272"/>
      <c r="E20" s="272"/>
      <c r="F20" s="272"/>
      <c r="G20" s="272"/>
      <c r="H20" s="272"/>
      <c r="I20" s="272"/>
      <c r="J20" s="272"/>
      <c r="K20" s="272"/>
      <c r="L20" s="272"/>
      <c r="M20" s="272"/>
      <c r="N20" s="1"/>
      <c r="O20" s="1"/>
      <c r="P20" s="1"/>
      <c r="Q20" s="1"/>
      <c r="R20" s="1"/>
      <c r="S20" s="1"/>
      <c r="T20" s="1"/>
      <c r="U20" s="1"/>
      <c r="V20" s="1"/>
      <c r="W20" s="1"/>
      <c r="X20" s="1"/>
      <c r="Y20" s="1"/>
      <c r="Z20" s="1"/>
      <c r="AA20" s="1"/>
    </row>
    <row r="21" spans="1:27" ht="18.95" customHeight="1" x14ac:dyDescent="0.2">
      <c r="A21" s="5"/>
      <c r="B21" s="32" t="s">
        <v>178</v>
      </c>
      <c r="C21" s="32" t="s">
        <v>179</v>
      </c>
      <c r="D21" s="32"/>
      <c r="E21" s="32" t="s">
        <v>178</v>
      </c>
      <c r="F21" s="32" t="s">
        <v>179</v>
      </c>
      <c r="G21" s="33"/>
      <c r="H21" s="32" t="s">
        <v>178</v>
      </c>
      <c r="I21" s="32" t="s">
        <v>179</v>
      </c>
      <c r="J21" s="33"/>
      <c r="K21" s="32" t="s">
        <v>178</v>
      </c>
      <c r="L21" s="32" t="s">
        <v>179</v>
      </c>
      <c r="M21" s="32"/>
      <c r="N21" s="1"/>
      <c r="O21" s="1"/>
      <c r="P21" s="1"/>
      <c r="Q21" s="1"/>
      <c r="R21" s="1"/>
      <c r="S21" s="1"/>
      <c r="T21" s="1"/>
      <c r="U21" s="1"/>
      <c r="V21" s="1"/>
      <c r="W21" s="1"/>
      <c r="X21" s="1"/>
      <c r="Y21" s="1"/>
      <c r="Z21" s="1"/>
      <c r="AA21" s="1"/>
    </row>
    <row r="22" spans="1:27" ht="17.100000000000001" customHeight="1" x14ac:dyDescent="0.2">
      <c r="A22" s="34" t="s">
        <v>103</v>
      </c>
      <c r="B22" s="117">
        <f>(D6/B6)-1</f>
        <v>-0.48076923076923073</v>
      </c>
      <c r="C22" s="118">
        <f>(D6/C6)-1</f>
        <v>-0.49056603773584906</v>
      </c>
      <c r="D22" s="146"/>
      <c r="E22" s="121">
        <f>(G6/E6)-1</f>
        <v>-0.26842105263157889</v>
      </c>
      <c r="F22" s="121">
        <f>(G6/F6)-1</f>
        <v>-0.1871345029239766</v>
      </c>
      <c r="G22" s="119"/>
      <c r="H22" s="117">
        <f>(J6/H6)-1</f>
        <v>-7.770632368703112E-2</v>
      </c>
      <c r="I22" s="118">
        <f>(J6/I6)-1</f>
        <v>2.6216137489076807E-3</v>
      </c>
      <c r="J22" s="146"/>
      <c r="K22" s="121">
        <f>(M6/K6)-1</f>
        <v>-0.10014409221902021</v>
      </c>
      <c r="L22" s="121">
        <f>(M6/L6)-1</f>
        <v>-2.1159874608150497E-2</v>
      </c>
      <c r="M22" s="1"/>
      <c r="N22" s="1"/>
      <c r="O22" s="1"/>
      <c r="P22" s="1"/>
      <c r="Q22" s="1"/>
      <c r="R22" s="1"/>
      <c r="S22" s="1"/>
      <c r="T22" s="1"/>
      <c r="U22" s="1"/>
      <c r="V22" s="1"/>
      <c r="W22" s="1"/>
      <c r="X22" s="1"/>
      <c r="Y22" s="1"/>
      <c r="Z22" s="1"/>
      <c r="AA22" s="1"/>
    </row>
    <row r="23" spans="1:27" ht="17.100000000000001" customHeight="1" x14ac:dyDescent="0.2">
      <c r="A23" s="34" t="s">
        <v>134</v>
      </c>
      <c r="B23" s="120">
        <f t="shared" ref="B23:B30" si="5">(D7/B7)-1</f>
        <v>-0.11299435028248583</v>
      </c>
      <c r="C23" s="121">
        <f>(D7/C7)-1</f>
        <v>-3.6809815950920255E-2</v>
      </c>
      <c r="D23" s="122"/>
      <c r="E23" s="121">
        <f t="shared" ref="E23:E30" si="6">(G7/E7)-1</f>
        <v>6.0723514211886265E-2</v>
      </c>
      <c r="F23" s="121">
        <f>(G7/F7)-1</f>
        <v>0.11700680272108843</v>
      </c>
      <c r="G23" s="119"/>
      <c r="H23" s="120">
        <f t="shared" ref="H23:H30" si="7">(J7/H7)-1</f>
        <v>-8.2259054634745254E-2</v>
      </c>
      <c r="I23" s="121">
        <f>(J7/I7)-1</f>
        <v>1.298701298701288E-2</v>
      </c>
      <c r="J23" s="122"/>
      <c r="K23" s="121">
        <f t="shared" ref="K23:K30" si="8">(M7/K7)-1</f>
        <v>-7.7125713449436528E-2</v>
      </c>
      <c r="L23" s="121">
        <f>(M7/L7)-1</f>
        <v>1.6659501289767897E-2</v>
      </c>
      <c r="M23" s="1"/>
      <c r="N23" s="1"/>
      <c r="O23" s="1"/>
      <c r="P23" s="1"/>
      <c r="Q23" s="1"/>
      <c r="R23" s="1"/>
      <c r="S23" s="1"/>
      <c r="T23" s="1"/>
      <c r="U23" s="1"/>
      <c r="V23" s="1"/>
      <c r="W23" s="1"/>
      <c r="X23" s="1"/>
      <c r="Y23" s="1"/>
      <c r="Z23" s="1"/>
      <c r="AA23" s="1"/>
    </row>
    <row r="24" spans="1:27" ht="17.100000000000001" customHeight="1" x14ac:dyDescent="0.2">
      <c r="A24" s="34" t="s">
        <v>135</v>
      </c>
      <c r="B24" s="120">
        <f t="shared" si="5"/>
        <v>-0.8</v>
      </c>
      <c r="C24" s="121">
        <f t="shared" ref="C24:C30" si="9">(D8/C8)-1</f>
        <v>1.3333333333333335</v>
      </c>
      <c r="D24" s="122"/>
      <c r="E24" s="121">
        <f t="shared" si="6"/>
        <v>0.125</v>
      </c>
      <c r="F24" s="121">
        <f t="shared" ref="F24:F30" si="10">(G8/F8)-1</f>
        <v>1.6470588235294117</v>
      </c>
      <c r="G24" s="119"/>
      <c r="H24" s="120">
        <f t="shared" si="7"/>
        <v>0.14502164502164505</v>
      </c>
      <c r="I24" s="121">
        <f t="shared" ref="I24:I30" si="11">(J8/I8)-1</f>
        <v>0.20776255707762559</v>
      </c>
      <c r="J24" s="122"/>
      <c r="K24" s="121">
        <f t="shared" si="8"/>
        <v>8.1936685288640509E-2</v>
      </c>
      <c r="L24" s="121">
        <f t="shared" ref="L24:L30" si="12">(M8/L8)-1</f>
        <v>0.26855895196506552</v>
      </c>
      <c r="M24" s="1"/>
      <c r="N24" s="1"/>
      <c r="O24" s="1"/>
      <c r="P24" s="1"/>
      <c r="Q24" s="1"/>
      <c r="R24" s="1"/>
      <c r="S24" s="1"/>
      <c r="T24" s="1"/>
      <c r="U24" s="1"/>
      <c r="V24" s="1"/>
      <c r="W24" s="1"/>
      <c r="X24" s="1"/>
      <c r="Y24" s="1"/>
      <c r="Z24" s="1"/>
      <c r="AA24" s="1"/>
    </row>
    <row r="25" spans="1:27" ht="17.100000000000001" customHeight="1" x14ac:dyDescent="0.2">
      <c r="A25" s="34" t="s">
        <v>130</v>
      </c>
      <c r="B25" s="120">
        <f t="shared" si="5"/>
        <v>-0.64</v>
      </c>
      <c r="C25" s="121">
        <f t="shared" si="9"/>
        <v>-0.4</v>
      </c>
      <c r="D25" s="122"/>
      <c r="E25" s="121">
        <f t="shared" si="6"/>
        <v>-0.31007751937984496</v>
      </c>
      <c r="F25" s="121">
        <f t="shared" si="10"/>
        <v>-0.21238938053097345</v>
      </c>
      <c r="G25" s="119"/>
      <c r="H25" s="120">
        <f t="shared" si="7"/>
        <v>-0.39577693557119653</v>
      </c>
      <c r="I25" s="121">
        <f t="shared" si="11"/>
        <v>-0.11428571428571432</v>
      </c>
      <c r="J25" s="122"/>
      <c r="K25" s="121">
        <f t="shared" si="8"/>
        <v>-0.39330334832583713</v>
      </c>
      <c r="L25" s="121">
        <f t="shared" si="12"/>
        <v>-0.12536023054755041</v>
      </c>
      <c r="M25" s="1"/>
      <c r="N25" s="1"/>
      <c r="O25" s="1"/>
      <c r="P25" s="1"/>
      <c r="Q25" s="1"/>
      <c r="R25" s="1"/>
      <c r="S25" s="1"/>
      <c r="T25" s="1"/>
      <c r="U25" s="1"/>
      <c r="V25" s="1"/>
      <c r="W25" s="1"/>
      <c r="X25" s="1"/>
      <c r="Y25" s="1"/>
      <c r="Z25" s="1"/>
      <c r="AA25" s="1"/>
    </row>
    <row r="26" spans="1:27" ht="17.100000000000001" customHeight="1" x14ac:dyDescent="0.2">
      <c r="A26" s="34" t="s">
        <v>129</v>
      </c>
      <c r="B26" s="120">
        <f t="shared" si="5"/>
        <v>0.32911392405063289</v>
      </c>
      <c r="C26" s="121">
        <f t="shared" si="9"/>
        <v>2.9411764705882248E-2</v>
      </c>
      <c r="D26" s="122"/>
      <c r="E26" s="121">
        <f t="shared" si="6"/>
        <v>0.44978165938864634</v>
      </c>
      <c r="F26" s="121">
        <f t="shared" si="10"/>
        <v>-4.7345767575322828E-2</v>
      </c>
      <c r="G26" s="119"/>
      <c r="H26" s="120">
        <f t="shared" si="7"/>
        <v>0.3499377334993774</v>
      </c>
      <c r="I26" s="121">
        <f t="shared" si="11"/>
        <v>3.6470427537221628E-2</v>
      </c>
      <c r="J26" s="122"/>
      <c r="K26" s="121">
        <f t="shared" si="8"/>
        <v>0.3570964598895745</v>
      </c>
      <c r="L26" s="121">
        <f t="shared" si="12"/>
        <v>2.9187192118226513E-2</v>
      </c>
      <c r="M26" s="1"/>
      <c r="N26" s="1"/>
      <c r="O26" s="1"/>
      <c r="P26" s="1"/>
      <c r="Q26" s="1"/>
      <c r="R26" s="1"/>
      <c r="S26" s="1"/>
      <c r="T26" s="1"/>
      <c r="U26" s="1"/>
      <c r="V26" s="1"/>
      <c r="W26" s="1"/>
      <c r="X26" s="1"/>
      <c r="Y26" s="1"/>
      <c r="Z26" s="1"/>
      <c r="AA26" s="1"/>
    </row>
    <row r="27" spans="1:27" ht="17.100000000000001" customHeight="1" x14ac:dyDescent="0.2">
      <c r="A27" s="34" t="s">
        <v>104</v>
      </c>
      <c r="B27" s="120">
        <f t="shared" si="5"/>
        <v>0.71428571428571419</v>
      </c>
      <c r="C27" s="121">
        <f t="shared" si="9"/>
        <v>0.19999999999999996</v>
      </c>
      <c r="D27" s="122"/>
      <c r="E27" s="121">
        <f t="shared" si="6"/>
        <v>0.93069306930693063</v>
      </c>
      <c r="F27" s="121">
        <f t="shared" si="10"/>
        <v>0.44444444444444442</v>
      </c>
      <c r="G27" s="119"/>
      <c r="H27" s="120">
        <f t="shared" si="7"/>
        <v>0.78266033254156775</v>
      </c>
      <c r="I27" s="121">
        <f t="shared" si="11"/>
        <v>0.16763905095293663</v>
      </c>
      <c r="J27" s="122"/>
      <c r="K27" s="121">
        <f t="shared" si="8"/>
        <v>0.79043913285158429</v>
      </c>
      <c r="L27" s="121">
        <f t="shared" si="12"/>
        <v>0.18158473954512111</v>
      </c>
      <c r="M27" s="1"/>
      <c r="N27" s="1"/>
      <c r="O27" s="1"/>
      <c r="P27" s="1"/>
      <c r="Q27" s="1"/>
      <c r="R27" s="1"/>
      <c r="S27" s="1"/>
      <c r="T27" s="1"/>
      <c r="U27" s="1"/>
      <c r="V27" s="1"/>
      <c r="W27" s="1"/>
      <c r="X27" s="1"/>
      <c r="Y27" s="1"/>
      <c r="Z27" s="1"/>
      <c r="AA27" s="1"/>
    </row>
    <row r="28" spans="1:27" ht="17.100000000000001" customHeight="1" x14ac:dyDescent="0.2">
      <c r="A28" s="34" t="s">
        <v>105</v>
      </c>
      <c r="B28" s="120">
        <f t="shared" si="5"/>
        <v>-0.44444444444444442</v>
      </c>
      <c r="C28" s="121">
        <f t="shared" si="9"/>
        <v>-0.54545454545454541</v>
      </c>
      <c r="D28" s="122"/>
      <c r="E28" s="121">
        <f t="shared" si="6"/>
        <v>0</v>
      </c>
      <c r="F28" s="121">
        <f>(G12/F12)-1</f>
        <v>0</v>
      </c>
      <c r="G28" s="119"/>
      <c r="H28" s="120">
        <f t="shared" si="7"/>
        <v>0.32894736842105265</v>
      </c>
      <c r="I28" s="121">
        <f>(J12/I12)-1</f>
        <v>-9.8039215686274161E-3</v>
      </c>
      <c r="J28" s="122"/>
      <c r="K28" s="121">
        <f t="shared" si="8"/>
        <v>0.19444444444444442</v>
      </c>
      <c r="L28" s="121">
        <f>(M12/L12)-1</f>
        <v>-5.1470588235294157E-2</v>
      </c>
      <c r="M28" s="1"/>
      <c r="N28" s="1"/>
      <c r="O28" s="1"/>
      <c r="P28" s="1"/>
      <c r="Q28" s="1"/>
      <c r="R28" s="1"/>
      <c r="S28" s="1"/>
      <c r="T28" s="1"/>
      <c r="U28" s="1"/>
      <c r="V28" s="1"/>
      <c r="W28" s="1"/>
      <c r="X28" s="1"/>
      <c r="Y28" s="1"/>
      <c r="Z28" s="1"/>
      <c r="AA28" s="1"/>
    </row>
    <row r="29" spans="1:27" ht="17.100000000000001" customHeight="1" x14ac:dyDescent="0.2">
      <c r="A29" s="24" t="s">
        <v>136</v>
      </c>
      <c r="B29" s="120">
        <f t="shared" si="5"/>
        <v>-0.625</v>
      </c>
      <c r="C29" s="121">
        <f t="shared" si="9"/>
        <v>-0.4</v>
      </c>
      <c r="D29" s="122"/>
      <c r="E29" s="121">
        <f t="shared" si="6"/>
        <v>0.12195121951219523</v>
      </c>
      <c r="F29" s="121">
        <f t="shared" si="10"/>
        <v>0.70370370370370372</v>
      </c>
      <c r="G29" s="119"/>
      <c r="H29" s="120">
        <f t="shared" si="7"/>
        <v>-0.22289156626506024</v>
      </c>
      <c r="I29" s="121">
        <f t="shared" si="11"/>
        <v>0.22274881516587675</v>
      </c>
      <c r="J29" s="122"/>
      <c r="K29" s="121">
        <f t="shared" si="8"/>
        <v>-0.19422572178477693</v>
      </c>
      <c r="L29" s="121">
        <f t="shared" si="12"/>
        <v>0.26337448559670773</v>
      </c>
      <c r="M29" s="1"/>
      <c r="N29" s="1"/>
      <c r="O29" s="1"/>
      <c r="P29" s="1"/>
      <c r="Q29" s="1"/>
      <c r="R29" s="1"/>
      <c r="S29" s="1"/>
      <c r="T29" s="1"/>
      <c r="U29" s="1"/>
      <c r="V29" s="1"/>
      <c r="W29" s="1"/>
      <c r="X29" s="1"/>
      <c r="Y29" s="1"/>
      <c r="Z29" s="1"/>
      <c r="AA29" s="1"/>
    </row>
    <row r="30" spans="1:27" ht="17.100000000000001" customHeight="1" thickBot="1" x14ac:dyDescent="0.25">
      <c r="A30" s="11" t="s">
        <v>35</v>
      </c>
      <c r="B30" s="177">
        <f t="shared" si="5"/>
        <v>-0.15538847117794485</v>
      </c>
      <c r="C30" s="178">
        <f t="shared" si="9"/>
        <v>-9.4086021505376372E-2</v>
      </c>
      <c r="D30" s="179"/>
      <c r="E30" s="124">
        <f t="shared" si="6"/>
        <v>0.11048304213771831</v>
      </c>
      <c r="F30" s="124">
        <f t="shared" si="10"/>
        <v>3.4466251795117309E-2</v>
      </c>
      <c r="G30" s="172"/>
      <c r="H30" s="123">
        <f t="shared" si="7"/>
        <v>2.0239024683202267E-2</v>
      </c>
      <c r="I30" s="124">
        <f t="shared" si="11"/>
        <v>2.814258911819878E-2</v>
      </c>
      <c r="J30" s="179"/>
      <c r="K30" s="124">
        <f t="shared" si="8"/>
        <v>2.3199708250343676E-2</v>
      </c>
      <c r="L30" s="124">
        <f t="shared" si="12"/>
        <v>2.7234066522094258E-2</v>
      </c>
      <c r="M30" s="35"/>
      <c r="N30" s="1"/>
      <c r="O30" s="1"/>
      <c r="P30" s="1"/>
      <c r="Q30" s="1"/>
      <c r="R30" s="1"/>
      <c r="S30" s="1"/>
      <c r="T30" s="1"/>
      <c r="U30" s="1"/>
      <c r="V30" s="1"/>
      <c r="W30" s="1"/>
      <c r="X30" s="1"/>
      <c r="Y30" s="1"/>
      <c r="Z30" s="1"/>
      <c r="AA30" s="1"/>
    </row>
    <row r="31" spans="1:27" ht="14.25" customHeight="1" x14ac:dyDescent="0.2">
      <c r="A31" s="85" t="s">
        <v>172</v>
      </c>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8.9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8.9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8" spans="1:27" x14ac:dyDescent="0.2">
      <c r="G38" s="1"/>
    </row>
    <row r="49" spans="9:9" x14ac:dyDescent="0.2">
      <c r="I49" s="1"/>
    </row>
  </sheetData>
  <mergeCells count="11">
    <mergeCell ref="A19:A20"/>
    <mergeCell ref="B20:M20"/>
    <mergeCell ref="B19:D19"/>
    <mergeCell ref="E19:G19"/>
    <mergeCell ref="H19:J19"/>
    <mergeCell ref="K19:M19"/>
    <mergeCell ref="A4:A5"/>
    <mergeCell ref="B4:D4"/>
    <mergeCell ref="E4:G4"/>
    <mergeCell ref="H4:J4"/>
    <mergeCell ref="K4:M4"/>
  </mergeCells>
  <printOptions horizontalCentered="1"/>
  <pageMargins left="0.23622047244094491" right="0.23622047244094491" top="0.74803149606299213" bottom="0.74803149606299213" header="0.31496062992125984" footer="0.31496062992125984"/>
  <pageSetup paperSize="9" scale="85" orientation="portrait" verticalDpi="0" r:id="rId1"/>
  <ignoredErrors>
    <ignoredError sqref="B14:J14" formulaRange="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BBB81-201F-4795-B442-0FFD469FC0C9}">
  <sheetPr>
    <pageSetUpPr fitToPage="1"/>
  </sheetPr>
  <dimension ref="A2:S53"/>
  <sheetViews>
    <sheetView showGridLines="0" zoomScaleNormal="100" workbookViewId="0"/>
  </sheetViews>
  <sheetFormatPr defaultColWidth="9.140625" defaultRowHeight="12" x14ac:dyDescent="0.2"/>
  <cols>
    <col min="1" max="1" width="33.140625" style="3" customWidth="1"/>
    <col min="2" max="2" width="68.28515625" style="3" customWidth="1"/>
    <col min="3" max="3" width="10" style="3" customWidth="1"/>
    <col min="4" max="4" width="9.7109375" style="3" customWidth="1"/>
    <col min="5" max="5" width="8.28515625" style="3" customWidth="1"/>
    <col min="6" max="6" width="9.28515625" style="3" customWidth="1"/>
    <col min="7" max="7" width="11.42578125" style="3" customWidth="1"/>
    <col min="8" max="8" width="2.7109375" style="3" customWidth="1"/>
    <col min="9" max="16384" width="9.140625" style="3"/>
  </cols>
  <sheetData>
    <row r="2" spans="1:19" ht="15" x14ac:dyDescent="0.25">
      <c r="A2" s="13" t="s">
        <v>227</v>
      </c>
      <c r="B2" s="14"/>
      <c r="C2" s="2"/>
      <c r="D2" s="2"/>
      <c r="E2" s="2"/>
      <c r="F2" s="2"/>
      <c r="G2" s="1"/>
      <c r="H2" s="1"/>
      <c r="I2" s="1"/>
      <c r="J2" s="1"/>
      <c r="K2" s="1"/>
      <c r="L2" s="1"/>
      <c r="M2" s="1"/>
      <c r="N2" s="1"/>
      <c r="O2" s="1"/>
      <c r="P2" s="1"/>
      <c r="Q2" s="1"/>
      <c r="R2" s="1"/>
      <c r="S2" s="1"/>
    </row>
    <row r="3" spans="1:19" ht="15" x14ac:dyDescent="0.25">
      <c r="A3" s="13"/>
      <c r="B3" s="14"/>
      <c r="C3" s="2"/>
      <c r="D3" s="2"/>
      <c r="E3" s="2"/>
      <c r="F3" s="2"/>
      <c r="G3" s="1"/>
      <c r="H3" s="1"/>
      <c r="I3" s="1"/>
      <c r="J3" s="1"/>
      <c r="K3" s="1"/>
      <c r="L3" s="1"/>
      <c r="M3" s="1"/>
      <c r="N3" s="1"/>
      <c r="O3" s="1"/>
      <c r="P3" s="1"/>
      <c r="Q3" s="1"/>
      <c r="R3" s="1"/>
      <c r="S3" s="1"/>
    </row>
    <row r="4" spans="1:19" ht="36" x14ac:dyDescent="0.2">
      <c r="A4" s="28" t="s">
        <v>158</v>
      </c>
      <c r="B4" s="29" t="s">
        <v>159</v>
      </c>
      <c r="C4" s="30" t="s">
        <v>162</v>
      </c>
      <c r="D4" s="30" t="s">
        <v>210</v>
      </c>
      <c r="E4" s="30" t="s">
        <v>156</v>
      </c>
      <c r="F4" s="30" t="s">
        <v>226</v>
      </c>
      <c r="G4" s="30" t="s">
        <v>205</v>
      </c>
      <c r="H4" s="1"/>
      <c r="I4" s="1"/>
      <c r="J4" s="1"/>
      <c r="K4" s="1"/>
      <c r="L4" s="1"/>
      <c r="M4" s="1"/>
      <c r="N4" s="1"/>
      <c r="O4" s="1"/>
      <c r="P4" s="1"/>
      <c r="Q4" s="1"/>
      <c r="R4" s="1"/>
      <c r="S4" s="1"/>
    </row>
    <row r="5" spans="1:19" ht="24.75" thickBot="1" x14ac:dyDescent="0.25">
      <c r="A5" s="223" t="s">
        <v>211</v>
      </c>
      <c r="B5" s="248" t="s">
        <v>160</v>
      </c>
      <c r="C5" s="224">
        <v>147</v>
      </c>
      <c r="D5" s="224">
        <v>147</v>
      </c>
      <c r="E5" s="225">
        <v>0.43620178041543028</v>
      </c>
      <c r="F5" s="224">
        <v>157</v>
      </c>
      <c r="G5" s="226">
        <v>-6.3694267515923553E-2</v>
      </c>
      <c r="H5" s="1"/>
      <c r="I5" s="1"/>
      <c r="J5" s="1"/>
      <c r="K5" s="1"/>
      <c r="L5" s="1"/>
      <c r="M5" s="1"/>
      <c r="N5" s="1"/>
      <c r="O5" s="1"/>
      <c r="P5" s="1"/>
      <c r="Q5" s="1"/>
      <c r="R5" s="1"/>
      <c r="S5" s="1"/>
    </row>
    <row r="6" spans="1:19" ht="12" customHeight="1" x14ac:dyDescent="0.2">
      <c r="A6" s="279" t="s">
        <v>212</v>
      </c>
      <c r="B6" s="249" t="s">
        <v>154</v>
      </c>
      <c r="C6" s="227">
        <v>16</v>
      </c>
      <c r="D6" s="227">
        <v>16</v>
      </c>
      <c r="E6" s="228">
        <v>4.7477744807121663E-2</v>
      </c>
      <c r="F6" s="227">
        <v>28</v>
      </c>
      <c r="G6" s="229">
        <v>-0.4285714285714286</v>
      </c>
      <c r="H6" s="1"/>
      <c r="I6" s="1"/>
      <c r="J6" s="1"/>
      <c r="K6" s="1"/>
      <c r="L6" s="1"/>
      <c r="M6" s="1"/>
      <c r="N6" s="1"/>
      <c r="O6" s="1"/>
      <c r="P6" s="1"/>
      <c r="Q6" s="1"/>
      <c r="R6" s="1"/>
      <c r="S6" s="1"/>
    </row>
    <row r="7" spans="1:19" x14ac:dyDescent="0.2">
      <c r="A7" s="280"/>
      <c r="B7" s="249" t="s">
        <v>171</v>
      </c>
      <c r="C7" s="227">
        <v>5</v>
      </c>
      <c r="D7" s="227">
        <v>5</v>
      </c>
      <c r="E7" s="228">
        <v>1.483679525222552E-2</v>
      </c>
      <c r="F7" s="230">
        <v>0</v>
      </c>
      <c r="G7" s="229" t="s">
        <v>230</v>
      </c>
      <c r="H7" s="1"/>
      <c r="I7" s="1"/>
      <c r="J7" s="1"/>
      <c r="K7" s="1"/>
      <c r="L7" s="1"/>
      <c r="M7" s="1"/>
      <c r="N7" s="1"/>
      <c r="O7" s="1"/>
      <c r="P7" s="1"/>
      <c r="Q7" s="1"/>
      <c r="R7" s="1"/>
      <c r="S7" s="1"/>
    </row>
    <row r="8" spans="1:19" x14ac:dyDescent="0.2">
      <c r="A8" s="280"/>
      <c r="B8" s="249" t="s">
        <v>155</v>
      </c>
      <c r="C8" s="227">
        <v>3</v>
      </c>
      <c r="D8" s="227">
        <v>3</v>
      </c>
      <c r="E8" s="228">
        <v>8.9020771513353119E-3</v>
      </c>
      <c r="F8" s="230">
        <v>5</v>
      </c>
      <c r="G8" s="229">
        <v>-0.4</v>
      </c>
      <c r="H8" s="1"/>
      <c r="I8" s="1"/>
      <c r="J8" s="1"/>
      <c r="K8" s="1"/>
      <c r="L8" s="1"/>
      <c r="M8" s="1"/>
      <c r="N8" s="1"/>
      <c r="O8" s="1"/>
      <c r="P8" s="1"/>
      <c r="Q8" s="1"/>
      <c r="R8" s="1"/>
      <c r="S8" s="1"/>
    </row>
    <row r="9" spans="1:19" x14ac:dyDescent="0.2">
      <c r="A9" s="280"/>
      <c r="B9" s="249" t="s">
        <v>201</v>
      </c>
      <c r="C9" s="230">
        <v>1</v>
      </c>
      <c r="D9" s="230">
        <v>1</v>
      </c>
      <c r="E9" s="228">
        <v>2.967359050445104E-3</v>
      </c>
      <c r="F9" s="227">
        <v>1</v>
      </c>
      <c r="G9" s="229">
        <v>0</v>
      </c>
      <c r="H9" s="1"/>
      <c r="I9" s="1"/>
      <c r="J9" s="1"/>
      <c r="K9" s="1"/>
      <c r="L9" s="1"/>
      <c r="M9" s="1"/>
      <c r="N9" s="1"/>
      <c r="O9" s="1"/>
      <c r="P9" s="1"/>
      <c r="Q9" s="1"/>
      <c r="R9" s="1"/>
      <c r="S9" s="1"/>
    </row>
    <row r="10" spans="1:19" x14ac:dyDescent="0.2">
      <c r="A10" s="280"/>
      <c r="B10" s="249" t="s">
        <v>231</v>
      </c>
      <c r="C10" s="230">
        <v>1</v>
      </c>
      <c r="D10" s="230">
        <v>1</v>
      </c>
      <c r="E10" s="228">
        <v>2.967359050445104E-3</v>
      </c>
      <c r="F10" s="227">
        <v>1</v>
      </c>
      <c r="G10" s="229">
        <v>0</v>
      </c>
      <c r="H10" s="1"/>
      <c r="I10" s="1"/>
      <c r="J10" s="1"/>
      <c r="K10" s="1"/>
      <c r="L10" s="1"/>
      <c r="M10" s="1"/>
      <c r="N10" s="1"/>
      <c r="O10" s="1"/>
      <c r="P10" s="1"/>
      <c r="Q10" s="1"/>
      <c r="R10" s="1"/>
      <c r="S10" s="1"/>
    </row>
    <row r="11" spans="1:19" x14ac:dyDescent="0.2">
      <c r="A11" s="280"/>
      <c r="B11" s="249" t="s">
        <v>232</v>
      </c>
      <c r="C11" s="230">
        <v>1</v>
      </c>
      <c r="D11" s="230">
        <v>1</v>
      </c>
      <c r="E11" s="228">
        <v>2.967359050445104E-3</v>
      </c>
      <c r="F11" s="227">
        <v>0</v>
      </c>
      <c r="G11" s="229" t="s">
        <v>230</v>
      </c>
      <c r="H11" s="1"/>
      <c r="I11" s="1"/>
      <c r="J11" s="1"/>
      <c r="K11" s="1"/>
      <c r="L11" s="1"/>
      <c r="M11" s="1"/>
      <c r="N11" s="1"/>
      <c r="O11" s="1"/>
      <c r="P11" s="1"/>
      <c r="Q11" s="1"/>
      <c r="R11" s="1"/>
      <c r="S11" s="1"/>
    </row>
    <row r="12" spans="1:19" x14ac:dyDescent="0.2">
      <c r="A12" s="280"/>
      <c r="B12" s="249" t="s">
        <v>213</v>
      </c>
      <c r="C12" s="230">
        <v>0</v>
      </c>
      <c r="D12" s="230">
        <v>0</v>
      </c>
      <c r="E12" s="228">
        <v>0</v>
      </c>
      <c r="F12" s="227">
        <v>1</v>
      </c>
      <c r="G12" s="229">
        <v>-1</v>
      </c>
      <c r="H12" s="1"/>
      <c r="I12" s="1"/>
      <c r="J12" s="1"/>
      <c r="K12" s="1"/>
      <c r="L12" s="1"/>
      <c r="M12" s="1"/>
      <c r="N12" s="1"/>
      <c r="O12" s="1"/>
      <c r="P12" s="1"/>
      <c r="Q12" s="1"/>
      <c r="R12" s="1"/>
      <c r="S12" s="1"/>
    </row>
    <row r="13" spans="1:19" x14ac:dyDescent="0.2">
      <c r="A13" s="280"/>
      <c r="B13" s="249" t="s">
        <v>202</v>
      </c>
      <c r="C13" s="230">
        <v>0</v>
      </c>
      <c r="D13" s="230">
        <v>0</v>
      </c>
      <c r="E13" s="228">
        <v>0</v>
      </c>
      <c r="F13" s="227">
        <v>1</v>
      </c>
      <c r="G13" s="229">
        <v>-1</v>
      </c>
      <c r="H13" s="1"/>
      <c r="I13" s="1"/>
      <c r="J13" s="1"/>
      <c r="K13" s="1"/>
      <c r="L13" s="1"/>
      <c r="M13" s="1"/>
      <c r="N13" s="1"/>
      <c r="O13" s="1"/>
      <c r="P13" s="1"/>
      <c r="Q13" s="1"/>
      <c r="R13" s="1"/>
      <c r="S13" s="1"/>
    </row>
    <row r="14" spans="1:19" x14ac:dyDescent="0.2">
      <c r="A14" s="280"/>
      <c r="B14" s="249" t="s">
        <v>203</v>
      </c>
      <c r="C14" s="230">
        <v>0</v>
      </c>
      <c r="D14" s="230">
        <v>0</v>
      </c>
      <c r="E14" s="228">
        <v>0</v>
      </c>
      <c r="F14" s="227">
        <v>1</v>
      </c>
      <c r="G14" s="229">
        <v>-1</v>
      </c>
      <c r="H14" s="1"/>
      <c r="I14" s="1"/>
      <c r="J14" s="1"/>
      <c r="K14" s="1"/>
      <c r="L14" s="1"/>
      <c r="M14" s="1"/>
      <c r="N14" s="1"/>
      <c r="O14" s="1"/>
      <c r="P14" s="1"/>
      <c r="Q14" s="1"/>
      <c r="R14" s="1"/>
      <c r="S14" s="1"/>
    </row>
    <row r="15" spans="1:19" ht="12.75" thickBot="1" x14ac:dyDescent="0.25">
      <c r="A15" s="281"/>
      <c r="B15" s="231" t="s">
        <v>157</v>
      </c>
      <c r="C15" s="232" t="s">
        <v>214</v>
      </c>
      <c r="D15" s="233">
        <v>27</v>
      </c>
      <c r="E15" s="226">
        <v>8.0118694362017809E-2</v>
      </c>
      <c r="F15" s="233">
        <v>38</v>
      </c>
      <c r="G15" s="226">
        <v>-0.28947368421052633</v>
      </c>
      <c r="H15" s="1"/>
      <c r="I15" s="1"/>
      <c r="J15" s="1"/>
      <c r="K15" s="1"/>
      <c r="L15" s="1"/>
      <c r="M15" s="1"/>
      <c r="N15" s="1"/>
      <c r="O15" s="1"/>
      <c r="P15" s="1"/>
      <c r="Q15" s="1"/>
      <c r="R15" s="1"/>
      <c r="S15" s="1"/>
    </row>
    <row r="16" spans="1:19" x14ac:dyDescent="0.2">
      <c r="A16" s="280" t="s">
        <v>204</v>
      </c>
      <c r="B16" s="250" t="s">
        <v>36</v>
      </c>
      <c r="C16" s="234">
        <v>4</v>
      </c>
      <c r="D16" s="234">
        <v>4</v>
      </c>
      <c r="E16" s="235">
        <v>1.1869436201780416E-2</v>
      </c>
      <c r="F16" s="230">
        <v>3</v>
      </c>
      <c r="G16" s="236">
        <v>0.33333333333333326</v>
      </c>
      <c r="H16" s="1"/>
      <c r="I16" s="1"/>
      <c r="J16" s="1"/>
      <c r="K16" s="1"/>
      <c r="L16" s="1"/>
      <c r="M16" s="1"/>
      <c r="N16" s="1"/>
      <c r="O16" s="1"/>
      <c r="P16" s="1"/>
      <c r="Q16" s="1"/>
      <c r="R16" s="1"/>
      <c r="S16" s="1"/>
    </row>
    <row r="17" spans="1:19" x14ac:dyDescent="0.2">
      <c r="A17" s="280"/>
      <c r="B17" s="251" t="s">
        <v>37</v>
      </c>
      <c r="C17" s="237">
        <v>3</v>
      </c>
      <c r="D17" s="237">
        <v>3</v>
      </c>
      <c r="E17" s="238">
        <v>8.9999999999999993E-3</v>
      </c>
      <c r="F17" s="239">
        <v>36</v>
      </c>
      <c r="G17" s="240">
        <v>-0.91700000000000004</v>
      </c>
      <c r="H17" s="1"/>
      <c r="I17" s="1"/>
      <c r="J17" s="1"/>
      <c r="K17" s="1"/>
      <c r="L17" s="1"/>
      <c r="M17" s="1"/>
      <c r="N17" s="1"/>
      <c r="O17" s="1"/>
      <c r="P17" s="1"/>
      <c r="Q17" s="1"/>
      <c r="R17" s="1"/>
      <c r="S17" s="1"/>
    </row>
    <row r="18" spans="1:19" ht="12.6" customHeight="1" thickBot="1" x14ac:dyDescent="0.25">
      <c r="A18" s="282"/>
      <c r="B18" s="231" t="s">
        <v>157</v>
      </c>
      <c r="C18" s="232" t="s">
        <v>214</v>
      </c>
      <c r="D18" s="233">
        <v>7</v>
      </c>
      <c r="E18" s="226">
        <v>2.1000000000000001E-2</v>
      </c>
      <c r="F18" s="233">
        <v>39</v>
      </c>
      <c r="G18" s="226">
        <v>-0.82099999999999995</v>
      </c>
      <c r="H18" s="1"/>
      <c r="I18" s="1"/>
      <c r="J18" s="1"/>
      <c r="K18" s="1"/>
      <c r="L18" s="1"/>
      <c r="M18" s="1"/>
      <c r="N18" s="1"/>
      <c r="O18" s="1"/>
      <c r="P18" s="1"/>
      <c r="Q18" s="1"/>
      <c r="R18" s="1"/>
      <c r="S18" s="1"/>
    </row>
    <row r="19" spans="1:19" x14ac:dyDescent="0.2">
      <c r="A19" s="279" t="s">
        <v>161</v>
      </c>
      <c r="B19" s="252" t="s">
        <v>215</v>
      </c>
      <c r="C19" s="227">
        <v>6</v>
      </c>
      <c r="D19" s="227">
        <v>6</v>
      </c>
      <c r="E19" s="228">
        <v>1.7804154302670624E-2</v>
      </c>
      <c r="F19" s="229" t="s">
        <v>132</v>
      </c>
      <c r="G19" s="229" t="s">
        <v>132</v>
      </c>
      <c r="H19" s="1"/>
      <c r="I19" s="1"/>
      <c r="J19" s="1"/>
      <c r="K19" s="1"/>
      <c r="L19" s="1"/>
      <c r="M19" s="1"/>
      <c r="N19" s="1"/>
      <c r="O19" s="1"/>
      <c r="P19" s="1"/>
      <c r="Q19" s="1"/>
      <c r="R19" s="1"/>
      <c r="S19" s="1"/>
    </row>
    <row r="20" spans="1:19" x14ac:dyDescent="0.2">
      <c r="A20" s="280"/>
      <c r="B20" s="252" t="s">
        <v>235</v>
      </c>
      <c r="C20" s="227">
        <v>5</v>
      </c>
      <c r="D20" s="227">
        <v>5</v>
      </c>
      <c r="E20" s="228">
        <v>1.483679525222552E-2</v>
      </c>
      <c r="F20" s="229"/>
      <c r="G20" s="229"/>
      <c r="H20" s="1"/>
      <c r="I20" s="1"/>
      <c r="J20" s="1"/>
      <c r="K20" s="1"/>
      <c r="L20" s="1"/>
      <c r="M20" s="1"/>
      <c r="N20" s="1"/>
      <c r="O20" s="1"/>
      <c r="P20" s="1"/>
      <c r="Q20" s="1"/>
      <c r="R20" s="1"/>
      <c r="S20" s="1"/>
    </row>
    <row r="21" spans="1:19" x14ac:dyDescent="0.2">
      <c r="A21" s="280"/>
      <c r="B21" s="252" t="s">
        <v>233</v>
      </c>
      <c r="C21" s="227">
        <v>4</v>
      </c>
      <c r="D21" s="227">
        <v>12</v>
      </c>
      <c r="E21" s="228">
        <v>3.5608308605341248E-2</v>
      </c>
      <c r="F21" s="229" t="s">
        <v>132</v>
      </c>
      <c r="G21" s="229" t="s">
        <v>132</v>
      </c>
      <c r="H21" s="1"/>
      <c r="I21" s="1"/>
      <c r="J21" s="1"/>
      <c r="K21" s="1"/>
      <c r="L21" s="1"/>
      <c r="M21" s="1"/>
      <c r="N21" s="1"/>
      <c r="O21" s="1"/>
      <c r="P21" s="1"/>
      <c r="Q21" s="1"/>
      <c r="R21" s="1"/>
      <c r="S21" s="1"/>
    </row>
    <row r="22" spans="1:19" ht="24" x14ac:dyDescent="0.2">
      <c r="A22" s="280"/>
      <c r="B22" s="252" t="s">
        <v>236</v>
      </c>
      <c r="C22" s="227">
        <v>3</v>
      </c>
      <c r="D22" s="227">
        <v>27</v>
      </c>
      <c r="E22" s="228">
        <v>8.0118694362017809E-2</v>
      </c>
      <c r="F22" s="229" t="s">
        <v>132</v>
      </c>
      <c r="G22" s="229" t="s">
        <v>132</v>
      </c>
      <c r="H22" s="1"/>
      <c r="I22" s="1"/>
      <c r="J22" s="1"/>
      <c r="K22" s="1"/>
      <c r="L22" s="1"/>
      <c r="M22" s="1"/>
      <c r="N22" s="1"/>
      <c r="O22" s="1"/>
      <c r="P22" s="1"/>
      <c r="Q22" s="1"/>
      <c r="R22" s="1"/>
      <c r="S22" s="1"/>
    </row>
    <row r="23" spans="1:19" ht="60" x14ac:dyDescent="0.2">
      <c r="A23" s="280"/>
      <c r="B23" s="252" t="s">
        <v>238</v>
      </c>
      <c r="C23" s="176">
        <v>2</v>
      </c>
      <c r="D23" s="253">
        <v>58</v>
      </c>
      <c r="E23" s="228">
        <v>0.17210682492581603</v>
      </c>
      <c r="F23" s="229" t="s">
        <v>132</v>
      </c>
      <c r="G23" s="229" t="s">
        <v>132</v>
      </c>
      <c r="H23" s="1"/>
      <c r="I23" s="1"/>
      <c r="J23" s="1"/>
      <c r="K23" s="1"/>
      <c r="L23" s="1"/>
      <c r="M23" s="1"/>
      <c r="N23" s="1"/>
      <c r="O23" s="1"/>
      <c r="P23" s="1"/>
      <c r="Q23" s="1"/>
      <c r="R23" s="1"/>
      <c r="S23" s="1"/>
    </row>
    <row r="24" spans="1:19" ht="96" x14ac:dyDescent="0.2">
      <c r="A24" s="280"/>
      <c r="B24" s="254" t="s">
        <v>237</v>
      </c>
      <c r="C24" s="241">
        <v>1</v>
      </c>
      <c r="D24" s="227">
        <v>48</v>
      </c>
      <c r="E24" s="228">
        <v>0.14243323442136499</v>
      </c>
      <c r="F24" s="229" t="s">
        <v>132</v>
      </c>
      <c r="G24" s="229" t="s">
        <v>132</v>
      </c>
      <c r="H24" s="1"/>
      <c r="I24" s="1"/>
      <c r="J24" s="1"/>
      <c r="K24" s="1"/>
      <c r="L24" s="1"/>
      <c r="M24" s="1"/>
      <c r="N24" s="1"/>
      <c r="O24" s="1"/>
      <c r="P24" s="1"/>
      <c r="Q24" s="1"/>
      <c r="R24" s="1"/>
      <c r="S24" s="1"/>
    </row>
    <row r="25" spans="1:19" ht="12.75" thickBot="1" x14ac:dyDescent="0.25">
      <c r="A25" s="282"/>
      <c r="B25" s="231" t="s">
        <v>157</v>
      </c>
      <c r="C25" s="255" t="s">
        <v>214</v>
      </c>
      <c r="D25" s="231">
        <v>156</v>
      </c>
      <c r="E25" s="242">
        <v>0.4629080118694362</v>
      </c>
      <c r="F25" s="231">
        <v>165</v>
      </c>
      <c r="G25" s="242">
        <v>-4.8484848484848464E-2</v>
      </c>
      <c r="H25" s="1"/>
      <c r="I25" s="1"/>
      <c r="J25" s="1"/>
      <c r="K25" s="1"/>
      <c r="L25" s="1"/>
      <c r="M25" s="1"/>
      <c r="N25" s="1"/>
      <c r="O25" s="1"/>
      <c r="P25" s="1"/>
      <c r="Q25" s="1"/>
      <c r="R25" s="1"/>
      <c r="S25" s="1"/>
    </row>
    <row r="26" spans="1:19" ht="12.75" thickBot="1" x14ac:dyDescent="0.25">
      <c r="A26" s="27"/>
      <c r="B26" s="243" t="s">
        <v>216</v>
      </c>
      <c r="C26" s="232" t="s">
        <v>214</v>
      </c>
      <c r="D26" s="244">
        <v>337</v>
      </c>
      <c r="E26" s="245">
        <v>1.0029673590504453</v>
      </c>
      <c r="F26" s="244">
        <v>399</v>
      </c>
      <c r="G26" s="246">
        <v>-0.15538847117794485</v>
      </c>
      <c r="H26" s="1"/>
      <c r="I26" s="1"/>
      <c r="J26" s="1"/>
      <c r="K26" s="1"/>
      <c r="L26" s="1"/>
      <c r="M26" s="1"/>
      <c r="N26" s="1"/>
      <c r="O26" s="1"/>
      <c r="P26" s="1"/>
      <c r="Q26" s="1"/>
      <c r="R26" s="1"/>
      <c r="S26" s="1"/>
    </row>
    <row r="27" spans="1:19" x14ac:dyDescent="0.2">
      <c r="A27" s="219"/>
      <c r="B27" s="220"/>
      <c r="C27" s="221"/>
      <c r="D27" s="219"/>
      <c r="E27" s="222"/>
      <c r="F27" s="219"/>
      <c r="G27" s="222"/>
      <c r="H27" s="1"/>
      <c r="I27" s="1"/>
      <c r="J27" s="1"/>
      <c r="K27" s="1"/>
      <c r="L27" s="1"/>
      <c r="M27" s="1"/>
      <c r="N27" s="1"/>
      <c r="O27" s="1"/>
      <c r="P27" s="1"/>
      <c r="Q27" s="1"/>
      <c r="R27" s="1"/>
      <c r="S27" s="1"/>
    </row>
    <row r="28" spans="1:19" x14ac:dyDescent="0.2">
      <c r="A28" s="219"/>
      <c r="B28" s="220"/>
      <c r="C28" s="221"/>
      <c r="D28" s="219"/>
      <c r="E28" s="222"/>
      <c r="F28" s="219"/>
      <c r="G28" s="222"/>
      <c r="H28" s="1"/>
      <c r="I28" s="1"/>
      <c r="J28" s="1"/>
      <c r="K28" s="1"/>
      <c r="L28" s="1"/>
      <c r="M28" s="1"/>
      <c r="N28" s="1"/>
      <c r="O28" s="1"/>
      <c r="P28" s="1"/>
      <c r="Q28" s="1"/>
      <c r="R28" s="1"/>
      <c r="S28" s="1"/>
    </row>
    <row r="29" spans="1:19" ht="15" x14ac:dyDescent="0.25">
      <c r="A29" s="13"/>
      <c r="B29" s="14"/>
      <c r="C29" s="2"/>
      <c r="D29" s="2"/>
      <c r="E29" s="2"/>
      <c r="F29" s="2"/>
      <c r="G29" s="1"/>
      <c r="H29" s="1"/>
      <c r="I29" s="1"/>
      <c r="J29" s="1"/>
      <c r="K29" s="1"/>
      <c r="L29" s="1"/>
      <c r="M29" s="1"/>
      <c r="N29" s="1"/>
      <c r="O29" s="1"/>
      <c r="P29" s="1"/>
      <c r="Q29" s="1"/>
      <c r="R29" s="1"/>
      <c r="S29" s="1"/>
    </row>
    <row r="42" spans="7:7" x14ac:dyDescent="0.2">
      <c r="G42" s="1"/>
    </row>
    <row r="53" spans="9:9" x14ac:dyDescent="0.2">
      <c r="I53" s="1"/>
    </row>
  </sheetData>
  <mergeCells count="3">
    <mergeCell ref="A6:A15"/>
    <mergeCell ref="A16:A18"/>
    <mergeCell ref="A19:A25"/>
  </mergeCells>
  <printOptions horizontalCentered="1"/>
  <pageMargins left="0.23622047244094491" right="0.23622047244094491" top="0.74803149606299213" bottom="0.74803149606299213" header="0.31496062992125984" footer="0.31496062992125984"/>
  <pageSetup paperSize="9" scale="91"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35B3-5503-4624-A2BD-9B6DB955ACDC}">
  <sheetPr>
    <pageSetUpPr fitToPage="1"/>
  </sheetPr>
  <dimension ref="A1:AA48"/>
  <sheetViews>
    <sheetView showGridLines="0" zoomScaleNormal="100" workbookViewId="0"/>
  </sheetViews>
  <sheetFormatPr defaultColWidth="9.140625" defaultRowHeight="12" x14ac:dyDescent="0.2"/>
  <cols>
    <col min="1" max="1" width="21.7109375" style="3" customWidth="1"/>
    <col min="2" max="4" width="10.28515625" style="3" customWidth="1"/>
    <col min="5" max="5" width="12.42578125" style="3" customWidth="1"/>
    <col min="6" max="6" width="12.140625" style="3" customWidth="1"/>
    <col min="7" max="7" width="10.28515625" style="3" customWidth="1"/>
    <col min="8" max="8" width="13.42578125" style="3" customWidth="1"/>
    <col min="9" max="9" width="12.28515625" style="3" customWidth="1"/>
    <col min="10" max="10" width="10.28515625" style="3" customWidth="1"/>
    <col min="11" max="11" width="2.28515625" style="3" customWidth="1"/>
    <col min="12" max="16384" width="9.140625" style="3"/>
  </cols>
  <sheetData>
    <row r="1" spans="1:27" ht="5.25" customHeight="1" x14ac:dyDescent="0.2"/>
    <row r="2" spans="1:27" ht="18.95" customHeight="1" x14ac:dyDescent="0.25">
      <c r="A2" s="13" t="s">
        <v>167</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30" customHeight="1" x14ac:dyDescent="0.2">
      <c r="A4" s="15" t="str">
        <f>+'1'!A4</f>
        <v>Janeiro-setembro</v>
      </c>
      <c r="B4" s="259" t="s">
        <v>106</v>
      </c>
      <c r="C4" s="260"/>
      <c r="D4" s="261"/>
      <c r="E4" s="259" t="s">
        <v>107</v>
      </c>
      <c r="F4" s="260"/>
      <c r="G4" s="261"/>
      <c r="H4" s="260" t="s">
        <v>151</v>
      </c>
      <c r="I4" s="260"/>
      <c r="J4" s="260"/>
      <c r="K4" s="1"/>
      <c r="L4" s="1"/>
      <c r="M4" s="1"/>
      <c r="N4" s="1"/>
      <c r="O4" s="1"/>
      <c r="P4" s="1"/>
      <c r="Q4" s="1"/>
      <c r="R4" s="1"/>
      <c r="S4" s="1"/>
      <c r="T4" s="1"/>
      <c r="U4" s="1"/>
      <c r="V4" s="1"/>
      <c r="W4" s="1"/>
      <c r="X4" s="1"/>
      <c r="Y4" s="1"/>
      <c r="Z4" s="1"/>
      <c r="AA4" s="1"/>
    </row>
    <row r="5" spans="1:27" ht="30" customHeight="1" x14ac:dyDescent="0.2">
      <c r="A5" s="9" t="s">
        <v>140</v>
      </c>
      <c r="B5" s="42">
        <v>2024</v>
      </c>
      <c r="C5" s="43">
        <v>2025</v>
      </c>
      <c r="D5" s="44" t="s">
        <v>177</v>
      </c>
      <c r="E5" s="42">
        <v>2024</v>
      </c>
      <c r="F5" s="43">
        <v>2025</v>
      </c>
      <c r="G5" s="44" t="s">
        <v>177</v>
      </c>
      <c r="H5" s="42">
        <v>2024</v>
      </c>
      <c r="I5" s="43">
        <v>2025</v>
      </c>
      <c r="J5" s="44" t="s">
        <v>177</v>
      </c>
      <c r="K5" s="1"/>
      <c r="L5" s="1"/>
      <c r="M5" s="1"/>
      <c r="N5" s="1"/>
      <c r="O5" s="1"/>
      <c r="P5" s="1"/>
      <c r="Q5" s="1"/>
      <c r="R5" s="1"/>
      <c r="S5" s="1"/>
      <c r="T5" s="1"/>
      <c r="U5" s="1"/>
      <c r="V5" s="1"/>
      <c r="W5" s="1"/>
      <c r="X5" s="1"/>
      <c r="Y5" s="1"/>
      <c r="Z5" s="1"/>
      <c r="AA5" s="1"/>
    </row>
    <row r="6" spans="1:27" ht="18.95" customHeight="1" x14ac:dyDescent="0.2">
      <c r="A6" s="24" t="s">
        <v>14</v>
      </c>
      <c r="B6" s="91" t="s">
        <v>132</v>
      </c>
      <c r="C6" s="92" t="s">
        <v>132</v>
      </c>
      <c r="D6" s="148" t="s">
        <v>132</v>
      </c>
      <c r="E6" s="91">
        <v>182233876</v>
      </c>
      <c r="F6" s="92">
        <v>222929721</v>
      </c>
      <c r="G6" s="180">
        <f t="shared" ref="G6:G9" si="0">(F6/E6)-1</f>
        <v>0.22331657479534694</v>
      </c>
      <c r="H6" s="92">
        <v>182233876</v>
      </c>
      <c r="I6" s="92">
        <v>222929721</v>
      </c>
      <c r="J6" s="181">
        <f t="shared" ref="J6:J9" si="1">(I6/H6)-1</f>
        <v>0.22331657479534694</v>
      </c>
      <c r="K6" s="1"/>
      <c r="L6" s="1"/>
      <c r="M6" s="1"/>
      <c r="N6" s="1"/>
      <c r="O6" s="1"/>
      <c r="P6" s="1"/>
      <c r="Q6" s="1"/>
      <c r="R6" s="1"/>
      <c r="S6" s="1"/>
      <c r="T6" s="1"/>
      <c r="U6" s="1"/>
      <c r="V6" s="1"/>
      <c r="W6" s="1"/>
      <c r="X6" s="1"/>
      <c r="Y6" s="1"/>
      <c r="Z6" s="1"/>
      <c r="AA6" s="1"/>
    </row>
    <row r="7" spans="1:27" ht="18.95" customHeight="1" x14ac:dyDescent="0.2">
      <c r="A7" s="24" t="s">
        <v>22</v>
      </c>
      <c r="B7" s="91">
        <v>1341106</v>
      </c>
      <c r="C7" s="92">
        <v>1553661</v>
      </c>
      <c r="D7" s="93">
        <f>(C7/B7)-1</f>
        <v>0.15849231902623662</v>
      </c>
      <c r="E7" s="91">
        <v>3170383</v>
      </c>
      <c r="F7" s="92">
        <v>11686206</v>
      </c>
      <c r="G7" s="180">
        <f t="shared" si="0"/>
        <v>2.6860549655987938</v>
      </c>
      <c r="H7" s="92">
        <v>4511489</v>
      </c>
      <c r="I7" s="92">
        <v>13239867</v>
      </c>
      <c r="J7" s="182">
        <f t="shared" si="1"/>
        <v>1.9347000513577668</v>
      </c>
      <c r="K7" s="1"/>
      <c r="L7" s="1"/>
      <c r="M7" s="1"/>
      <c r="N7" s="1"/>
      <c r="O7" s="1"/>
      <c r="P7" s="1"/>
      <c r="Q7" s="1"/>
      <c r="R7" s="1"/>
      <c r="S7" s="1"/>
      <c r="T7" s="1"/>
      <c r="U7" s="1"/>
      <c r="V7" s="1"/>
      <c r="W7" s="1"/>
      <c r="X7" s="1"/>
      <c r="Y7" s="1"/>
      <c r="Z7" s="1"/>
      <c r="AA7" s="1"/>
    </row>
    <row r="8" spans="1:27" ht="18.95" customHeight="1" x14ac:dyDescent="0.2">
      <c r="A8" s="24" t="s">
        <v>28</v>
      </c>
      <c r="B8" s="91">
        <v>494092</v>
      </c>
      <c r="C8" s="92">
        <v>521106</v>
      </c>
      <c r="D8" s="93">
        <f t="shared" ref="D8:D9" si="2">(C8/B8)-1</f>
        <v>5.4674028318612677E-2</v>
      </c>
      <c r="E8" s="91">
        <v>1658573</v>
      </c>
      <c r="F8" s="92">
        <v>1840806</v>
      </c>
      <c r="G8" s="180">
        <f t="shared" si="0"/>
        <v>0.10987336704504425</v>
      </c>
      <c r="H8" s="92">
        <v>2152665</v>
      </c>
      <c r="I8" s="92">
        <v>2361912</v>
      </c>
      <c r="J8" s="182">
        <f t="shared" si="1"/>
        <v>9.7203698671181948E-2</v>
      </c>
      <c r="K8" s="1"/>
      <c r="L8" s="1"/>
      <c r="M8" s="1"/>
      <c r="N8" s="1"/>
      <c r="O8" s="1"/>
      <c r="P8" s="1"/>
      <c r="Q8" s="1"/>
      <c r="R8" s="1"/>
      <c r="S8" s="1"/>
      <c r="T8" s="1"/>
      <c r="U8" s="1"/>
      <c r="V8" s="1"/>
      <c r="W8" s="1"/>
      <c r="X8" s="1"/>
      <c r="Y8" s="1"/>
      <c r="Z8" s="1"/>
      <c r="AA8" s="1"/>
    </row>
    <row r="9" spans="1:27" ht="18.95" customHeight="1" x14ac:dyDescent="0.2">
      <c r="A9" s="24" t="s">
        <v>166</v>
      </c>
      <c r="B9" s="91">
        <v>8634</v>
      </c>
      <c r="C9" s="92">
        <v>27753</v>
      </c>
      <c r="D9" s="93">
        <f t="shared" si="2"/>
        <v>2.2143849895760943</v>
      </c>
      <c r="E9" s="91">
        <v>462611</v>
      </c>
      <c r="F9" s="92">
        <v>910258</v>
      </c>
      <c r="G9" s="180">
        <f t="shared" si="0"/>
        <v>0.96765316864493056</v>
      </c>
      <c r="H9" s="91">
        <v>471245</v>
      </c>
      <c r="I9" s="92">
        <v>938011</v>
      </c>
      <c r="J9" s="182">
        <f t="shared" si="1"/>
        <v>0.99049538987151053</v>
      </c>
      <c r="K9" s="1"/>
      <c r="L9" s="1"/>
      <c r="M9" s="1"/>
      <c r="N9" s="1"/>
      <c r="O9" s="1"/>
      <c r="P9" s="1"/>
      <c r="Q9" s="1"/>
      <c r="R9" s="1"/>
      <c r="S9" s="1"/>
      <c r="T9" s="1"/>
      <c r="U9" s="1"/>
      <c r="V9" s="1"/>
      <c r="W9" s="1"/>
      <c r="X9" s="1"/>
      <c r="Y9" s="1"/>
      <c r="Z9" s="1"/>
      <c r="AA9" s="1"/>
    </row>
    <row r="10" spans="1:27" ht="18.95" customHeight="1" thickBot="1" x14ac:dyDescent="0.25">
      <c r="A10" s="11" t="s">
        <v>35</v>
      </c>
      <c r="B10" s="131">
        <f>SUM(B6:B9)</f>
        <v>1843832</v>
      </c>
      <c r="C10" s="132">
        <f>SUM(C6:C9)</f>
        <v>2102520</v>
      </c>
      <c r="D10" s="133">
        <f>(C10/B10)-1</f>
        <v>0.14029911618845969</v>
      </c>
      <c r="E10" s="131">
        <f>SUM(E6:E9)</f>
        <v>187525443</v>
      </c>
      <c r="F10" s="132">
        <f>SUM(F6:F9)</f>
        <v>237366991</v>
      </c>
      <c r="G10" s="133">
        <f>(F10/E10)-1</f>
        <v>0.26578552330096339</v>
      </c>
      <c r="H10" s="132">
        <f>SUM(H6:H9)</f>
        <v>189369275</v>
      </c>
      <c r="I10" s="132">
        <f>SUM(I6:I9)</f>
        <v>239469511</v>
      </c>
      <c r="J10" s="134">
        <f>(I10/H10)-1</f>
        <v>0.26456369968148219</v>
      </c>
      <c r="K10" s="1"/>
      <c r="L10" s="1"/>
      <c r="M10" s="1"/>
      <c r="N10" s="1"/>
      <c r="O10" s="1"/>
      <c r="P10" s="1"/>
      <c r="Q10" s="1"/>
      <c r="R10" s="1"/>
      <c r="S10" s="1"/>
      <c r="T10" s="1"/>
      <c r="U10" s="1"/>
      <c r="V10" s="1"/>
      <c r="W10" s="1"/>
      <c r="X10" s="1"/>
      <c r="Y10" s="1"/>
      <c r="Z10" s="1"/>
      <c r="AA10" s="1"/>
    </row>
    <row r="11" spans="1:27" ht="15" customHeight="1" x14ac:dyDescent="0.2">
      <c r="A11" s="89" t="s">
        <v>181</v>
      </c>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8.9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8.9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8.9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3">
    <mergeCell ref="B4:D4"/>
    <mergeCell ref="E4:G4"/>
    <mergeCell ref="H4:J4"/>
  </mergeCells>
  <printOptions horizontalCentered="1"/>
  <pageMargins left="0.23622047244094491" right="0.23622047244094491" top="0.74803149606299213" bottom="0.74803149606299213" header="0.31496062992125984" footer="0.31496062992125984"/>
  <pageSetup paperSize="9" scale="86" orientation="portrait" verticalDpi="0" r:id="rId1"/>
  <ignoredErrors>
    <ignoredError sqref="D10 G10" formula="1"/>
    <ignoredError sqref="E10:F10 H10:I10" formulaRange="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447-2CC7-419C-8226-7B647E7CA80B}">
  <sheetPr>
    <pageSetUpPr fitToPage="1"/>
  </sheetPr>
  <dimension ref="A1:AA48"/>
  <sheetViews>
    <sheetView showGridLines="0" zoomScaleNormal="100" workbookViewId="0"/>
  </sheetViews>
  <sheetFormatPr defaultColWidth="9.140625" defaultRowHeight="12" x14ac:dyDescent="0.2"/>
  <cols>
    <col min="1" max="1" width="21.7109375" style="3" customWidth="1"/>
    <col min="2" max="2" width="12.7109375" style="3" customWidth="1"/>
    <col min="3" max="3" width="13.7109375" style="3" customWidth="1"/>
    <col min="4" max="10" width="10.7109375" style="3" customWidth="1"/>
    <col min="11" max="11" width="2.28515625" style="3" customWidth="1"/>
    <col min="12" max="16384" width="9.140625" style="3"/>
  </cols>
  <sheetData>
    <row r="1" spans="1:27" ht="6.75" customHeight="1" x14ac:dyDescent="0.2"/>
    <row r="2" spans="1:27" ht="18.95" customHeight="1" x14ac:dyDescent="0.25">
      <c r="A2" s="13" t="s">
        <v>168</v>
      </c>
      <c r="B2" s="14"/>
      <c r="C2" s="2"/>
      <c r="D2" s="2"/>
      <c r="E2" s="2"/>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2"/>
      <c r="F3" s="1"/>
      <c r="G3" s="1"/>
      <c r="H3" s="1"/>
      <c r="I3" s="1"/>
      <c r="J3" s="1"/>
      <c r="K3" s="1"/>
      <c r="L3" s="1"/>
      <c r="M3" s="1"/>
      <c r="N3" s="1"/>
      <c r="O3" s="1"/>
      <c r="P3" s="1"/>
      <c r="Q3" s="1"/>
      <c r="R3" s="1"/>
      <c r="S3" s="1"/>
      <c r="T3" s="1"/>
      <c r="U3" s="1"/>
      <c r="V3" s="1"/>
      <c r="W3" s="1"/>
      <c r="X3" s="1"/>
      <c r="Y3" s="1"/>
      <c r="Z3" s="1"/>
      <c r="AA3" s="1"/>
    </row>
    <row r="4" spans="1:27" ht="30" customHeight="1" x14ac:dyDescent="0.2">
      <c r="A4" s="15" t="str">
        <f>+'1'!A4</f>
        <v>Janeiro-setembro</v>
      </c>
      <c r="B4" s="259" t="s">
        <v>133</v>
      </c>
      <c r="C4" s="260"/>
      <c r="D4" s="261"/>
      <c r="E4" s="259" t="s">
        <v>108</v>
      </c>
      <c r="F4" s="260"/>
      <c r="G4" s="261"/>
      <c r="H4" s="260" t="s">
        <v>109</v>
      </c>
      <c r="I4" s="260"/>
      <c r="J4" s="260"/>
      <c r="K4" s="1"/>
      <c r="L4" s="1"/>
      <c r="M4" s="1"/>
      <c r="N4" s="1"/>
      <c r="O4" s="1"/>
      <c r="P4" s="1"/>
      <c r="Q4" s="1"/>
      <c r="R4" s="1"/>
      <c r="S4" s="1"/>
      <c r="T4" s="1"/>
      <c r="U4" s="1"/>
      <c r="V4" s="1"/>
      <c r="W4" s="1"/>
      <c r="X4" s="1"/>
      <c r="Y4" s="1"/>
      <c r="Z4" s="1"/>
      <c r="AA4" s="1"/>
    </row>
    <row r="5" spans="1:27" ht="30" customHeight="1" x14ac:dyDescent="0.2">
      <c r="A5" s="9" t="s">
        <v>140</v>
      </c>
      <c r="B5" s="42">
        <v>2024</v>
      </c>
      <c r="C5" s="43">
        <v>2025</v>
      </c>
      <c r="D5" s="44" t="s">
        <v>177</v>
      </c>
      <c r="E5" s="42">
        <v>2024</v>
      </c>
      <c r="F5" s="43">
        <v>2025</v>
      </c>
      <c r="G5" s="44" t="s">
        <v>177</v>
      </c>
      <c r="H5" s="42">
        <v>2024</v>
      </c>
      <c r="I5" s="43">
        <v>2025</v>
      </c>
      <c r="J5" s="44" t="s">
        <v>177</v>
      </c>
      <c r="K5" s="1"/>
      <c r="L5" s="1"/>
      <c r="M5" s="1"/>
      <c r="N5" s="1"/>
      <c r="O5" s="1"/>
      <c r="P5" s="1"/>
      <c r="Q5" s="1"/>
      <c r="R5" s="1"/>
      <c r="S5" s="1"/>
      <c r="T5" s="1"/>
      <c r="U5" s="1"/>
      <c r="V5" s="1"/>
      <c r="W5" s="1"/>
      <c r="X5" s="1"/>
      <c r="Y5" s="1"/>
      <c r="Z5" s="1"/>
      <c r="AA5" s="1"/>
    </row>
    <row r="6" spans="1:27" ht="18.95" customHeight="1" x14ac:dyDescent="0.2">
      <c r="A6" s="24" t="s">
        <v>14</v>
      </c>
      <c r="B6" s="135">
        <v>182233876</v>
      </c>
      <c r="C6" s="136">
        <v>222929721</v>
      </c>
      <c r="D6" s="180">
        <f t="shared" ref="D6:D9" si="0">(C6/B6)-1</f>
        <v>0.22331657479534694</v>
      </c>
      <c r="E6" s="92">
        <v>460765</v>
      </c>
      <c r="F6" s="136">
        <v>422885</v>
      </c>
      <c r="G6" s="180">
        <f t="shared" ref="G6:G9" si="1">(F6/E6)-1</f>
        <v>-8.2211105444206956E-2</v>
      </c>
      <c r="H6" s="183">
        <v>2.5284267124955407E-3</v>
      </c>
      <c r="I6" s="183">
        <v>1.8969431177819488E-3</v>
      </c>
      <c r="J6" s="184">
        <f t="shared" ref="J6:J9" si="2">(I6/H6)-1</f>
        <v>-0.2497535687282475</v>
      </c>
      <c r="K6" s="1"/>
      <c r="L6" s="1"/>
      <c r="M6" s="1"/>
      <c r="N6" s="1"/>
      <c r="O6" s="1"/>
      <c r="P6" s="1"/>
      <c r="Q6" s="1"/>
      <c r="R6" s="1"/>
      <c r="S6" s="1"/>
      <c r="T6" s="1"/>
      <c r="U6" s="1"/>
      <c r="V6" s="1"/>
      <c r="W6" s="1"/>
      <c r="X6" s="1"/>
      <c r="Y6" s="1"/>
      <c r="Z6" s="1"/>
      <c r="AA6" s="1"/>
    </row>
    <row r="7" spans="1:27" ht="18.95" customHeight="1" x14ac:dyDescent="0.2">
      <c r="A7" s="24" t="s">
        <v>22</v>
      </c>
      <c r="B7" s="91">
        <v>4511489</v>
      </c>
      <c r="C7" s="92">
        <v>13239867</v>
      </c>
      <c r="D7" s="180">
        <f t="shared" si="0"/>
        <v>1.9347000513577668</v>
      </c>
      <c r="E7" s="92">
        <v>140735</v>
      </c>
      <c r="F7" s="92">
        <v>180683</v>
      </c>
      <c r="G7" s="180">
        <f t="shared" si="1"/>
        <v>0.28385263083099432</v>
      </c>
      <c r="H7" s="183">
        <v>3.1194800652290185E-2</v>
      </c>
      <c r="I7" s="183">
        <v>1.3646889353193654E-2</v>
      </c>
      <c r="J7" s="184">
        <f t="shared" si="2"/>
        <v>-0.56252679716381648</v>
      </c>
      <c r="K7" s="1"/>
      <c r="L7" s="1"/>
      <c r="M7" s="1"/>
      <c r="N7" s="1"/>
      <c r="O7" s="1"/>
      <c r="P7" s="1"/>
      <c r="Q7" s="1"/>
      <c r="R7" s="1"/>
      <c r="S7" s="1"/>
      <c r="T7" s="1"/>
      <c r="U7" s="1"/>
      <c r="V7" s="1"/>
      <c r="W7" s="1"/>
      <c r="X7" s="1"/>
      <c r="Y7" s="1"/>
      <c r="Z7" s="1"/>
      <c r="AA7" s="1"/>
    </row>
    <row r="8" spans="1:27" ht="18.95" customHeight="1" x14ac:dyDescent="0.2">
      <c r="A8" s="24" t="s">
        <v>28</v>
      </c>
      <c r="B8" s="91">
        <v>2152665</v>
      </c>
      <c r="C8" s="92">
        <v>2361912</v>
      </c>
      <c r="D8" s="180">
        <f t="shared" si="0"/>
        <v>9.7203698671181948E-2</v>
      </c>
      <c r="E8" s="92">
        <v>145010</v>
      </c>
      <c r="F8" s="92">
        <v>177305</v>
      </c>
      <c r="G8" s="180">
        <f t="shared" si="1"/>
        <v>0.2227087787049169</v>
      </c>
      <c r="H8" s="183">
        <v>6.7363012823639531E-2</v>
      </c>
      <c r="I8" s="183">
        <v>7.506841914516714E-2</v>
      </c>
      <c r="J8" s="184">
        <f t="shared" si="2"/>
        <v>0.11438630783484749</v>
      </c>
      <c r="K8" s="1"/>
      <c r="L8" s="1"/>
      <c r="M8" s="1"/>
      <c r="N8" s="1"/>
      <c r="O8" s="1"/>
      <c r="P8" s="1"/>
      <c r="Q8" s="1"/>
      <c r="R8" s="1"/>
      <c r="S8" s="1"/>
      <c r="T8" s="1"/>
      <c r="U8" s="1"/>
      <c r="V8" s="1"/>
      <c r="W8" s="1"/>
      <c r="X8" s="1"/>
      <c r="Y8" s="1"/>
      <c r="Z8" s="1"/>
      <c r="AA8" s="1"/>
    </row>
    <row r="9" spans="1:27" ht="18.95" customHeight="1" x14ac:dyDescent="0.2">
      <c r="A9" s="24" t="s">
        <v>166</v>
      </c>
      <c r="B9" s="91">
        <v>471245</v>
      </c>
      <c r="C9" s="92">
        <v>938011</v>
      </c>
      <c r="D9" s="180">
        <f t="shared" si="0"/>
        <v>0.99049538987151053</v>
      </c>
      <c r="E9" s="92">
        <v>180308</v>
      </c>
      <c r="F9" s="92">
        <v>276902</v>
      </c>
      <c r="G9" s="180">
        <f t="shared" si="1"/>
        <v>0.53571666259955197</v>
      </c>
      <c r="H9" s="183">
        <v>0.17499085487754043</v>
      </c>
      <c r="I9" s="183">
        <v>0.1641794252626522</v>
      </c>
      <c r="J9" s="184">
        <f t="shared" si="2"/>
        <v>-6.1782826436582283E-2</v>
      </c>
      <c r="K9" s="1"/>
      <c r="L9" s="1"/>
      <c r="M9" s="1"/>
      <c r="N9" s="1"/>
      <c r="O9" s="1"/>
      <c r="P9" s="1"/>
      <c r="Q9" s="1"/>
      <c r="R9" s="1"/>
      <c r="S9" s="1"/>
      <c r="T9" s="1"/>
      <c r="U9" s="1"/>
      <c r="V9" s="1"/>
      <c r="W9" s="1"/>
      <c r="X9" s="1"/>
      <c r="Y9" s="1"/>
      <c r="Z9" s="1"/>
      <c r="AA9" s="1"/>
    </row>
    <row r="10" spans="1:27" ht="18.95" customHeight="1" thickBot="1" x14ac:dyDescent="0.25">
      <c r="A10" s="11" t="s">
        <v>165</v>
      </c>
      <c r="B10" s="131">
        <f>SUM(B6:B9)</f>
        <v>189369275</v>
      </c>
      <c r="C10" s="132">
        <f>SUM(C6:C9)</f>
        <v>239469511</v>
      </c>
      <c r="D10" s="133">
        <f>(C10/B10)-1</f>
        <v>0.26456369968148219</v>
      </c>
      <c r="E10" s="132">
        <f>SUM(E6:E9)</f>
        <v>926818</v>
      </c>
      <c r="F10" s="132">
        <f>SUM(F6:F9)</f>
        <v>1057775</v>
      </c>
      <c r="G10" s="133">
        <f>(F10/E10)-1</f>
        <v>0.14129742840557702</v>
      </c>
      <c r="H10" s="185">
        <v>4.2706320147007978E-3</v>
      </c>
      <c r="I10" s="185">
        <v>3.8054679947102333E-3</v>
      </c>
      <c r="J10" s="186">
        <f>(I10/H10)-1</f>
        <v>-0.10892158780932892</v>
      </c>
      <c r="K10" s="1"/>
      <c r="L10" s="1"/>
      <c r="M10" s="1"/>
      <c r="N10" s="1"/>
      <c r="O10" s="1"/>
      <c r="P10" s="1"/>
      <c r="Q10" s="1"/>
      <c r="R10" s="1"/>
      <c r="S10" s="1"/>
      <c r="T10" s="1"/>
      <c r="U10" s="1"/>
      <c r="V10" s="1"/>
      <c r="W10" s="1"/>
      <c r="X10" s="1"/>
      <c r="Y10" s="1"/>
      <c r="Z10" s="1"/>
      <c r="AA10" s="1"/>
    </row>
    <row r="11" spans="1:27" ht="13.5" customHeight="1" x14ac:dyDescent="0.2">
      <c r="A11" s="90" t="s">
        <v>182</v>
      </c>
      <c r="B11" s="90"/>
      <c r="C11" s="90"/>
      <c r="D11" s="90"/>
      <c r="E11" s="90"/>
      <c r="F11" s="1"/>
      <c r="G11" s="1"/>
      <c r="H11" s="1"/>
      <c r="I11" s="1"/>
      <c r="J11" s="1"/>
      <c r="K11" s="1"/>
      <c r="L11" s="1"/>
      <c r="M11" s="1"/>
      <c r="N11" s="1"/>
      <c r="O11" s="1"/>
      <c r="P11" s="1"/>
      <c r="Q11" s="1"/>
      <c r="R11" s="1"/>
      <c r="S11" s="1"/>
      <c r="T11" s="1"/>
      <c r="U11" s="1"/>
      <c r="V11" s="1"/>
      <c r="W11" s="1"/>
      <c r="X11" s="1"/>
      <c r="Y11" s="1"/>
      <c r="Z11" s="1"/>
      <c r="AA11" s="1"/>
    </row>
    <row r="12" spans="1:27" ht="11.25" customHeight="1" x14ac:dyDescent="0.2">
      <c r="A12" s="89" t="s">
        <v>183</v>
      </c>
      <c r="B12" s="89"/>
      <c r="C12" s="89"/>
      <c r="D12" s="89"/>
      <c r="E12" s="89"/>
      <c r="F12" s="89"/>
      <c r="G12" s="89"/>
      <c r="H12" s="89"/>
      <c r="I12" s="1"/>
      <c r="J12" s="1"/>
      <c r="K12" s="1"/>
      <c r="L12" s="1"/>
      <c r="M12" s="1"/>
      <c r="N12" s="1"/>
      <c r="O12" s="1"/>
      <c r="P12" s="1"/>
      <c r="Q12" s="1"/>
      <c r="R12" s="1"/>
      <c r="S12" s="1"/>
      <c r="T12" s="1"/>
      <c r="U12" s="1"/>
      <c r="V12" s="1"/>
      <c r="W12" s="1"/>
      <c r="X12" s="1"/>
      <c r="Y12" s="1"/>
      <c r="Z12" s="1"/>
      <c r="AA12" s="1"/>
    </row>
    <row r="13" spans="1:27"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3">
    <mergeCell ref="B4:D4"/>
    <mergeCell ref="E4:G4"/>
    <mergeCell ref="H4:J4"/>
  </mergeCells>
  <printOptions horizontalCentered="1"/>
  <pageMargins left="0.23622047244094491" right="0.23622047244094491" top="0.74803149606299213" bottom="0.74803149606299213" header="0.31496062992125984" footer="0.31496062992125984"/>
  <pageSetup paperSize="9" scale="83" orientation="portrait" verticalDpi="0" r:id="rId1"/>
  <ignoredErrors>
    <ignoredError sqref="B10:C10 E10:F10" formulaRange="1"/>
    <ignoredError sqref="D10" formula="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CD07-DDB2-478F-BE5B-76039A2A74DC}">
  <sheetPr>
    <pageSetUpPr fitToPage="1"/>
  </sheetPr>
  <dimension ref="A1:AA48"/>
  <sheetViews>
    <sheetView showGridLines="0" zoomScaleNormal="100" workbookViewId="0"/>
  </sheetViews>
  <sheetFormatPr defaultColWidth="9.140625" defaultRowHeight="12" x14ac:dyDescent="0.2"/>
  <cols>
    <col min="1" max="1" width="32.28515625" style="3" customWidth="1"/>
    <col min="2" max="4" width="12.7109375" style="3" customWidth="1"/>
    <col min="5" max="5" width="5.5703125" style="3" customWidth="1"/>
    <col min="6" max="16384" width="9.140625" style="3"/>
  </cols>
  <sheetData>
    <row r="1" spans="1:27" ht="5.25" customHeight="1" x14ac:dyDescent="0.2"/>
    <row r="2" spans="1:27" ht="18.95" customHeight="1" x14ac:dyDescent="0.25">
      <c r="A2" s="13" t="s">
        <v>169</v>
      </c>
      <c r="B2" s="14"/>
      <c r="C2" s="2"/>
      <c r="D2" s="2"/>
      <c r="E2" s="1"/>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1"/>
      <c r="F3" s="1"/>
      <c r="G3" s="1"/>
      <c r="H3" s="1"/>
      <c r="I3" s="1"/>
      <c r="J3" s="1"/>
      <c r="K3" s="1"/>
      <c r="L3" s="1"/>
      <c r="M3" s="1"/>
      <c r="N3" s="1"/>
      <c r="O3" s="1"/>
      <c r="P3" s="1"/>
      <c r="Q3" s="1"/>
      <c r="R3" s="1"/>
      <c r="S3" s="1"/>
      <c r="T3" s="1"/>
      <c r="U3" s="1"/>
      <c r="V3" s="1"/>
      <c r="W3" s="1"/>
      <c r="X3" s="1"/>
      <c r="Y3" s="1"/>
      <c r="Z3" s="1"/>
      <c r="AA3" s="1"/>
    </row>
    <row r="4" spans="1:27" ht="18.95" customHeight="1" x14ac:dyDescent="0.2">
      <c r="A4" s="15" t="str">
        <f>+'1'!A4</f>
        <v>Janeiro-setembro</v>
      </c>
      <c r="B4" s="259" t="s">
        <v>110</v>
      </c>
      <c r="C4" s="260"/>
      <c r="D4" s="261"/>
      <c r="E4" s="1"/>
      <c r="F4" s="1"/>
      <c r="G4" s="1"/>
      <c r="H4" s="1"/>
      <c r="I4" s="1"/>
      <c r="J4" s="1"/>
      <c r="K4" s="1"/>
      <c r="L4" s="1"/>
      <c r="M4" s="1"/>
      <c r="N4" s="1"/>
      <c r="O4" s="1"/>
      <c r="P4" s="1"/>
      <c r="Q4" s="1"/>
      <c r="R4" s="1"/>
      <c r="S4" s="1"/>
      <c r="T4" s="1"/>
      <c r="U4" s="1"/>
      <c r="V4" s="1"/>
      <c r="W4" s="1"/>
      <c r="X4" s="1"/>
      <c r="Y4" s="1"/>
      <c r="Z4" s="1"/>
      <c r="AA4" s="1"/>
    </row>
    <row r="5" spans="1:27" ht="30" customHeight="1" x14ac:dyDescent="0.2">
      <c r="A5" s="9" t="s">
        <v>111</v>
      </c>
      <c r="B5" s="16">
        <v>2024</v>
      </c>
      <c r="C5" s="17">
        <v>2025</v>
      </c>
      <c r="D5" s="18" t="s">
        <v>177</v>
      </c>
      <c r="E5" s="1"/>
      <c r="F5" s="1"/>
      <c r="G5" s="1"/>
      <c r="H5" s="1"/>
      <c r="I5" s="1"/>
      <c r="J5" s="1"/>
      <c r="K5" s="1"/>
      <c r="L5" s="1"/>
      <c r="M5" s="1"/>
      <c r="N5" s="1"/>
      <c r="O5" s="1"/>
      <c r="P5" s="1"/>
      <c r="Q5" s="1"/>
      <c r="R5" s="1"/>
      <c r="S5" s="1"/>
      <c r="T5" s="1"/>
      <c r="U5" s="1"/>
      <c r="V5" s="1"/>
      <c r="W5" s="1"/>
      <c r="X5" s="1"/>
      <c r="Y5" s="1"/>
      <c r="Z5" s="1"/>
      <c r="AA5" s="1"/>
    </row>
    <row r="6" spans="1:27" ht="18.95" customHeight="1" x14ac:dyDescent="0.2">
      <c r="A6" s="24" t="s">
        <v>112</v>
      </c>
      <c r="B6" s="91">
        <v>660539</v>
      </c>
      <c r="C6" s="92">
        <v>676853</v>
      </c>
      <c r="D6" s="182">
        <f t="shared" ref="D6:D13" si="0">(C6/B6)-1</f>
        <v>2.4698011775232009E-2</v>
      </c>
      <c r="E6" s="1"/>
      <c r="F6" s="1"/>
      <c r="G6" s="1"/>
      <c r="H6" s="1"/>
      <c r="I6" s="1"/>
      <c r="J6" s="1"/>
      <c r="K6" s="1"/>
      <c r="L6" s="1"/>
      <c r="M6" s="1"/>
      <c r="N6" s="1"/>
      <c r="O6" s="1"/>
      <c r="P6" s="1"/>
      <c r="Q6" s="1"/>
      <c r="R6" s="1"/>
      <c r="S6" s="1"/>
      <c r="T6" s="1"/>
      <c r="U6" s="1"/>
      <c r="V6" s="1"/>
      <c r="W6" s="1"/>
      <c r="X6" s="1"/>
      <c r="Y6" s="1"/>
      <c r="Z6" s="1"/>
      <c r="AA6" s="1"/>
    </row>
    <row r="7" spans="1:27" ht="18.95" customHeight="1" x14ac:dyDescent="0.2">
      <c r="A7" s="24" t="s">
        <v>113</v>
      </c>
      <c r="B7" s="91">
        <v>22134</v>
      </c>
      <c r="C7" s="92">
        <v>23847</v>
      </c>
      <c r="D7" s="182">
        <f t="shared" si="0"/>
        <v>7.7392247221469201E-2</v>
      </c>
      <c r="E7" s="1"/>
      <c r="F7" s="1"/>
      <c r="G7" s="1"/>
      <c r="H7" s="1"/>
      <c r="I7" s="1"/>
      <c r="J7" s="1"/>
      <c r="K7" s="1"/>
      <c r="L7" s="1"/>
      <c r="M7" s="1"/>
      <c r="N7" s="1"/>
      <c r="O7" s="1"/>
      <c r="P7" s="1"/>
      <c r="Q7" s="1"/>
      <c r="R7" s="1"/>
      <c r="S7" s="1"/>
      <c r="T7" s="1"/>
      <c r="U7" s="1"/>
      <c r="V7" s="1"/>
      <c r="W7" s="1"/>
      <c r="X7" s="1"/>
      <c r="Y7" s="1"/>
      <c r="Z7" s="1"/>
      <c r="AA7" s="1"/>
    </row>
    <row r="8" spans="1:27" ht="18.95" customHeight="1" x14ac:dyDescent="0.2">
      <c r="A8" s="24" t="s">
        <v>114</v>
      </c>
      <c r="B8" s="91">
        <v>13215</v>
      </c>
      <c r="C8" s="92">
        <v>19552</v>
      </c>
      <c r="D8" s="182">
        <f t="shared" si="0"/>
        <v>0.47953083617101777</v>
      </c>
      <c r="E8" s="1"/>
      <c r="F8" s="1"/>
      <c r="G8" s="1"/>
      <c r="H8" s="1"/>
      <c r="I8" s="1"/>
      <c r="J8" s="1"/>
      <c r="K8" s="1"/>
      <c r="L8" s="1"/>
      <c r="M8" s="1"/>
      <c r="N8" s="1"/>
      <c r="O8" s="1"/>
      <c r="P8" s="1"/>
      <c r="Q8" s="1"/>
      <c r="R8" s="1"/>
      <c r="S8" s="1"/>
      <c r="T8" s="1"/>
      <c r="U8" s="1"/>
      <c r="V8" s="1"/>
      <c r="W8" s="1"/>
      <c r="X8" s="1"/>
      <c r="Y8" s="1"/>
      <c r="Z8" s="1"/>
      <c r="AA8" s="1"/>
    </row>
    <row r="9" spans="1:27" ht="18.95" customHeight="1" x14ac:dyDescent="0.2">
      <c r="A9" s="24" t="s">
        <v>115</v>
      </c>
      <c r="B9" s="91">
        <v>41689</v>
      </c>
      <c r="C9" s="92">
        <v>60598</v>
      </c>
      <c r="D9" s="182">
        <f t="shared" si="0"/>
        <v>0.45357288493367554</v>
      </c>
      <c r="E9" s="1"/>
      <c r="F9" s="1"/>
      <c r="G9" s="1"/>
      <c r="H9" s="1"/>
      <c r="I9" s="1"/>
      <c r="J9" s="1"/>
      <c r="K9" s="1"/>
      <c r="L9" s="1"/>
      <c r="M9" s="1"/>
      <c r="N9" s="1"/>
      <c r="O9" s="1"/>
      <c r="P9" s="1"/>
      <c r="Q9" s="1"/>
      <c r="R9" s="1"/>
      <c r="S9" s="1"/>
      <c r="T9" s="1"/>
      <c r="U9" s="1"/>
      <c r="V9" s="1"/>
      <c r="W9" s="1"/>
      <c r="X9" s="1"/>
      <c r="Y9" s="1"/>
      <c r="Z9" s="1"/>
      <c r="AA9" s="1"/>
    </row>
    <row r="10" spans="1:27" ht="18.95" customHeight="1" x14ac:dyDescent="0.2">
      <c r="A10" s="24" t="s">
        <v>116</v>
      </c>
      <c r="B10" s="91">
        <v>11785</v>
      </c>
      <c r="C10" s="92">
        <v>17942</v>
      </c>
      <c r="D10" s="182">
        <f t="shared" si="0"/>
        <v>0.52244378447178619</v>
      </c>
      <c r="E10" s="1"/>
      <c r="F10" s="1"/>
      <c r="G10" s="1"/>
      <c r="H10" s="1"/>
      <c r="I10" s="1"/>
      <c r="J10" s="1"/>
      <c r="K10" s="1"/>
      <c r="L10" s="1"/>
      <c r="M10" s="1"/>
      <c r="N10" s="1"/>
      <c r="O10" s="1"/>
      <c r="P10" s="1"/>
      <c r="Q10" s="1"/>
      <c r="R10" s="1"/>
      <c r="S10" s="1"/>
      <c r="T10" s="1"/>
      <c r="U10" s="1"/>
      <c r="V10" s="1"/>
      <c r="W10" s="1"/>
      <c r="X10" s="1"/>
      <c r="Y10" s="1"/>
      <c r="Z10" s="1"/>
      <c r="AA10" s="1"/>
    </row>
    <row r="11" spans="1:27" ht="18.95" customHeight="1" x14ac:dyDescent="0.2">
      <c r="A11" s="24" t="s">
        <v>152</v>
      </c>
      <c r="B11" s="91">
        <v>9859</v>
      </c>
      <c r="C11" s="92">
        <v>11897</v>
      </c>
      <c r="D11" s="182">
        <f t="shared" si="0"/>
        <v>0.20671467694492351</v>
      </c>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24" t="s">
        <v>117</v>
      </c>
      <c r="B12" s="91">
        <v>1396</v>
      </c>
      <c r="C12" s="92">
        <v>1694</v>
      </c>
      <c r="D12" s="182">
        <f t="shared" si="0"/>
        <v>0.21346704871060163</v>
      </c>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24" t="s">
        <v>118</v>
      </c>
      <c r="B13" s="91">
        <v>166201</v>
      </c>
      <c r="C13" s="92">
        <v>245392</v>
      </c>
      <c r="D13" s="182">
        <f t="shared" si="0"/>
        <v>0.47647727751337232</v>
      </c>
      <c r="E13" s="1"/>
      <c r="F13" s="1"/>
      <c r="G13" s="1"/>
      <c r="H13" s="1"/>
      <c r="I13" s="1"/>
      <c r="J13" s="1"/>
      <c r="K13" s="1"/>
      <c r="L13" s="1"/>
      <c r="M13" s="1"/>
      <c r="N13" s="1"/>
      <c r="O13" s="1"/>
      <c r="P13" s="1"/>
      <c r="Q13" s="1"/>
      <c r="R13" s="1"/>
      <c r="S13" s="1"/>
      <c r="T13" s="1"/>
      <c r="U13" s="1"/>
      <c r="V13" s="1"/>
      <c r="W13" s="1"/>
      <c r="X13" s="1"/>
      <c r="Y13" s="1"/>
      <c r="Z13" s="1"/>
      <c r="AA13" s="1"/>
    </row>
    <row r="14" spans="1:27" ht="18.95" customHeight="1" thickBot="1" x14ac:dyDescent="0.25">
      <c r="A14" s="11" t="s">
        <v>35</v>
      </c>
      <c r="B14" s="131">
        <f>SUM(B6:B13)</f>
        <v>926818</v>
      </c>
      <c r="C14" s="132">
        <f>SUM(C6:C13)</f>
        <v>1057775</v>
      </c>
      <c r="D14" s="134">
        <f t="shared" ref="D14" si="1">(C14/B14)-1</f>
        <v>0.14129742840557702</v>
      </c>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8.9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8.9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8.9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8.9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8.9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1">
    <mergeCell ref="B4:D4"/>
  </mergeCells>
  <printOptions horizontalCentered="1"/>
  <pageMargins left="0.70866141732283472" right="0.70866141732283472" top="0.74803149606299213" bottom="0.74803149606299213" header="0.31496062992125984" footer="0.31496062992125984"/>
  <pageSetup paperSize="9" orientation="portrait" verticalDpi="0" r:id="rId1"/>
  <ignoredErrors>
    <ignoredError sqref="B14:C14" formulaRange="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5768-495B-49DF-B272-9694375537C8}">
  <dimension ref="A1:AA48"/>
  <sheetViews>
    <sheetView showGridLines="0" zoomScaleNormal="100" workbookViewId="0"/>
  </sheetViews>
  <sheetFormatPr defaultColWidth="9.140625" defaultRowHeight="12" x14ac:dyDescent="0.2"/>
  <cols>
    <col min="1" max="1" width="21.7109375" style="3" customWidth="1"/>
    <col min="2" max="8" width="12.7109375" style="3" customWidth="1"/>
    <col min="9" max="16384" width="9.140625" style="3"/>
  </cols>
  <sheetData>
    <row r="1" spans="1:27" ht="6.75" customHeight="1" x14ac:dyDescent="0.2"/>
    <row r="2" spans="1:27" ht="18.95" customHeight="1" x14ac:dyDescent="0.25">
      <c r="A2" s="13" t="s">
        <v>218</v>
      </c>
      <c r="B2" s="14"/>
      <c r="C2" s="2"/>
      <c r="D2" s="2"/>
      <c r="E2" s="1"/>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1"/>
      <c r="F3" s="1"/>
      <c r="G3" s="1"/>
      <c r="H3" s="1"/>
      <c r="I3" s="1"/>
      <c r="J3" s="1"/>
      <c r="K3" s="1"/>
      <c r="L3" s="1"/>
      <c r="M3" s="1"/>
      <c r="N3" s="1"/>
      <c r="O3" s="1"/>
      <c r="P3" s="1"/>
      <c r="Q3" s="1"/>
      <c r="R3" s="1"/>
      <c r="S3" s="1"/>
      <c r="T3" s="1"/>
      <c r="U3" s="1"/>
      <c r="V3" s="1"/>
      <c r="W3" s="1"/>
      <c r="X3" s="1"/>
      <c r="Y3" s="1"/>
      <c r="Z3" s="1"/>
      <c r="AA3" s="1"/>
    </row>
    <row r="4" spans="1:27" ht="18.95" customHeight="1" x14ac:dyDescent="0.2">
      <c r="A4" s="15" t="str">
        <f>+'1'!A4</f>
        <v>Janeiro-setembro</v>
      </c>
      <c r="B4" s="259" t="s">
        <v>119</v>
      </c>
      <c r="C4" s="260"/>
      <c r="D4" s="261"/>
      <c r="E4" s="259" t="s">
        <v>108</v>
      </c>
      <c r="F4" s="260"/>
      <c r="G4" s="260"/>
      <c r="H4" s="260"/>
      <c r="I4" s="1"/>
      <c r="J4" s="1"/>
      <c r="K4" s="1"/>
      <c r="L4" s="1"/>
      <c r="M4" s="1"/>
      <c r="N4" s="1"/>
      <c r="O4" s="1"/>
      <c r="P4" s="1"/>
      <c r="Q4" s="1"/>
      <c r="R4" s="1"/>
      <c r="S4" s="1"/>
      <c r="T4" s="1"/>
      <c r="U4" s="1"/>
      <c r="V4" s="1"/>
      <c r="W4" s="1"/>
      <c r="X4" s="1"/>
      <c r="Y4" s="1"/>
      <c r="Z4" s="1"/>
      <c r="AA4" s="1"/>
    </row>
    <row r="5" spans="1:27" ht="24" customHeight="1" x14ac:dyDescent="0.2">
      <c r="A5" s="283" t="s">
        <v>140</v>
      </c>
      <c r="B5" s="275">
        <v>2024</v>
      </c>
      <c r="C5" s="276">
        <v>2025</v>
      </c>
      <c r="D5" s="286" t="s">
        <v>177</v>
      </c>
      <c r="E5" s="16">
        <v>2024</v>
      </c>
      <c r="F5" s="22">
        <v>2025</v>
      </c>
      <c r="G5" s="288" t="s">
        <v>177</v>
      </c>
      <c r="H5" s="288"/>
      <c r="I5" s="1"/>
      <c r="J5" s="1"/>
      <c r="K5" s="1"/>
      <c r="L5" s="1"/>
      <c r="M5" s="1"/>
      <c r="N5" s="1"/>
      <c r="O5" s="1"/>
      <c r="P5" s="1"/>
      <c r="Q5" s="1"/>
      <c r="R5" s="1"/>
      <c r="S5" s="1"/>
      <c r="T5" s="1"/>
      <c r="U5" s="1"/>
      <c r="V5" s="1"/>
      <c r="W5" s="1"/>
      <c r="X5" s="1"/>
      <c r="Y5" s="1"/>
      <c r="Z5" s="1"/>
      <c r="AA5" s="1"/>
    </row>
    <row r="6" spans="1:27" ht="31.5" customHeight="1" x14ac:dyDescent="0.2">
      <c r="A6" s="283"/>
      <c r="B6" s="284"/>
      <c r="C6" s="285"/>
      <c r="D6" s="287"/>
      <c r="E6" s="273" t="s">
        <v>147</v>
      </c>
      <c r="F6" s="289"/>
      <c r="G6" s="87" t="s">
        <v>148</v>
      </c>
      <c r="H6" s="87" t="s">
        <v>149</v>
      </c>
      <c r="I6" s="1"/>
      <c r="J6" s="1"/>
      <c r="K6" s="1"/>
      <c r="L6" s="1"/>
      <c r="M6" s="1"/>
      <c r="N6" s="1"/>
      <c r="O6" s="1"/>
      <c r="P6" s="1"/>
      <c r="Q6" s="1"/>
      <c r="R6" s="1"/>
      <c r="S6" s="1"/>
      <c r="T6" s="1"/>
      <c r="U6" s="1"/>
      <c r="V6" s="1"/>
      <c r="W6" s="1"/>
      <c r="X6" s="1"/>
      <c r="Y6" s="1"/>
      <c r="Z6" s="1"/>
      <c r="AA6" s="1"/>
    </row>
    <row r="7" spans="1:27" ht="18.95" customHeight="1" x14ac:dyDescent="0.2">
      <c r="A7" s="290" t="s">
        <v>14</v>
      </c>
      <c r="B7" s="294">
        <v>182233876</v>
      </c>
      <c r="C7" s="295">
        <v>222929721</v>
      </c>
      <c r="D7" s="296">
        <f>(C7/B7)-1</f>
        <v>0.22331657479534694</v>
      </c>
      <c r="E7" s="91">
        <v>460765</v>
      </c>
      <c r="F7" s="148">
        <v>422885</v>
      </c>
      <c r="G7" s="94">
        <f>(F7/E7)-1</f>
        <v>-8.2211105444206956E-2</v>
      </c>
      <c r="H7" s="94"/>
      <c r="I7" s="1"/>
      <c r="J7" s="1"/>
      <c r="K7" s="1"/>
      <c r="L7" s="1"/>
      <c r="M7" s="1"/>
      <c r="N7" s="1"/>
      <c r="O7" s="1"/>
      <c r="P7" s="1"/>
      <c r="Q7" s="1"/>
      <c r="R7" s="1"/>
      <c r="S7" s="1"/>
      <c r="T7" s="1"/>
      <c r="U7" s="1"/>
      <c r="V7" s="1"/>
      <c r="W7" s="1"/>
      <c r="X7" s="1"/>
      <c r="Y7" s="1"/>
      <c r="Z7" s="1"/>
      <c r="AA7" s="1"/>
    </row>
    <row r="8" spans="1:27" ht="18.95" customHeight="1" x14ac:dyDescent="0.2">
      <c r="A8" s="290"/>
      <c r="B8" s="291"/>
      <c r="C8" s="292"/>
      <c r="D8" s="293"/>
      <c r="E8" s="187">
        <v>2.5284267124955407E-3</v>
      </c>
      <c r="F8" s="95">
        <v>1.8969431177819488E-3</v>
      </c>
      <c r="G8" s="94"/>
      <c r="H8" s="94">
        <f>(F8-E8)/E8</f>
        <v>-0.2497535687282475</v>
      </c>
      <c r="I8" s="1"/>
      <c r="J8" s="1"/>
      <c r="K8" s="1"/>
      <c r="L8" s="1"/>
      <c r="M8" s="1"/>
      <c r="N8" s="1"/>
      <c r="O8" s="1"/>
      <c r="P8" s="1"/>
      <c r="Q8" s="1"/>
      <c r="R8" s="1"/>
      <c r="S8" s="1"/>
      <c r="T8" s="1"/>
      <c r="U8" s="1"/>
      <c r="V8" s="1"/>
      <c r="W8" s="1"/>
      <c r="X8" s="1"/>
      <c r="Y8" s="1"/>
      <c r="Z8" s="1"/>
      <c r="AA8" s="1"/>
    </row>
    <row r="9" spans="1:27" ht="18.95" customHeight="1" x14ac:dyDescent="0.2">
      <c r="A9" s="290" t="s">
        <v>22</v>
      </c>
      <c r="B9" s="291">
        <v>3170383</v>
      </c>
      <c r="C9" s="292">
        <v>11686206</v>
      </c>
      <c r="D9" s="293">
        <f t="shared" ref="D9" si="0">(C9/B9)-1</f>
        <v>2.6860549655987938</v>
      </c>
      <c r="E9" s="91">
        <v>55226</v>
      </c>
      <c r="F9" s="148">
        <v>66131</v>
      </c>
      <c r="G9" s="94">
        <f t="shared" ref="G9:G13" si="1">(F9/E9)-1</f>
        <v>0.19746134067287158</v>
      </c>
      <c r="H9" s="94"/>
      <c r="I9" s="1"/>
      <c r="J9" s="1"/>
      <c r="K9" s="1"/>
      <c r="L9" s="1"/>
      <c r="M9" s="1"/>
      <c r="N9" s="1"/>
      <c r="O9" s="1"/>
      <c r="P9" s="1"/>
      <c r="Q9" s="1"/>
      <c r="R9" s="1"/>
      <c r="S9" s="1"/>
      <c r="T9" s="1"/>
      <c r="U9" s="1"/>
      <c r="V9" s="1"/>
      <c r="W9" s="1"/>
      <c r="X9" s="1"/>
      <c r="Y9" s="1"/>
      <c r="Z9" s="1"/>
      <c r="AA9" s="1"/>
    </row>
    <row r="10" spans="1:27" ht="18.95" customHeight="1" x14ac:dyDescent="0.2">
      <c r="A10" s="290"/>
      <c r="B10" s="291"/>
      <c r="C10" s="292"/>
      <c r="D10" s="293"/>
      <c r="E10" s="187">
        <v>1.7419346495360338E-2</v>
      </c>
      <c r="F10" s="95">
        <v>5.6588939130458593E-3</v>
      </c>
      <c r="G10" s="94"/>
      <c r="H10" s="94">
        <f t="shared" ref="H10:H14" si="2">(F10-E10)/E10</f>
        <v>-0.67513741605902888</v>
      </c>
      <c r="I10" s="1"/>
      <c r="J10" s="1"/>
      <c r="K10" s="1"/>
      <c r="L10" s="1"/>
      <c r="M10" s="1"/>
      <c r="N10" s="1"/>
      <c r="O10" s="1"/>
      <c r="P10" s="1"/>
      <c r="Q10" s="1"/>
      <c r="R10" s="1"/>
      <c r="S10" s="1"/>
      <c r="T10" s="1"/>
      <c r="U10" s="1"/>
      <c r="V10" s="1"/>
      <c r="W10" s="1"/>
      <c r="X10" s="1"/>
      <c r="Y10" s="1"/>
      <c r="Z10" s="1"/>
      <c r="AA10" s="1"/>
    </row>
    <row r="11" spans="1:27" ht="18.95" customHeight="1" x14ac:dyDescent="0.2">
      <c r="A11" s="290" t="s">
        <v>28</v>
      </c>
      <c r="B11" s="291">
        <v>1658573</v>
      </c>
      <c r="C11" s="292">
        <v>1840806</v>
      </c>
      <c r="D11" s="293">
        <f t="shared" ref="D11:D13" si="3">(C11/B11)-1</f>
        <v>0.10987336704504425</v>
      </c>
      <c r="E11" s="91">
        <v>22919</v>
      </c>
      <c r="F11" s="148">
        <v>32404</v>
      </c>
      <c r="G11" s="94">
        <f t="shared" si="1"/>
        <v>0.41384877176142076</v>
      </c>
      <c r="H11" s="94"/>
      <c r="I11" s="1"/>
      <c r="J11" s="1"/>
      <c r="K11" s="1"/>
      <c r="L11" s="1"/>
      <c r="M11" s="1"/>
      <c r="N11" s="1"/>
      <c r="O11" s="1"/>
      <c r="P11" s="1"/>
      <c r="Q11" s="1"/>
      <c r="R11" s="1"/>
      <c r="S11" s="1"/>
      <c r="T11" s="1"/>
      <c r="U11" s="1"/>
      <c r="V11" s="1"/>
      <c r="W11" s="1"/>
      <c r="X11" s="1"/>
      <c r="Y11" s="1"/>
      <c r="Z11" s="1"/>
      <c r="AA11" s="1"/>
    </row>
    <row r="12" spans="1:27" ht="18.95" customHeight="1" x14ac:dyDescent="0.2">
      <c r="A12" s="290"/>
      <c r="B12" s="291"/>
      <c r="C12" s="292"/>
      <c r="D12" s="293"/>
      <c r="E12" s="187">
        <v>1.3818505426049984E-2</v>
      </c>
      <c r="F12" s="95">
        <v>1.7603158616388691E-2</v>
      </c>
      <c r="G12" s="94"/>
      <c r="H12" s="94">
        <f t="shared" si="2"/>
        <v>0.27388296155415337</v>
      </c>
      <c r="I12" s="1"/>
      <c r="J12" s="1"/>
      <c r="K12" s="1"/>
      <c r="L12" s="1"/>
      <c r="M12" s="1"/>
      <c r="N12" s="1"/>
      <c r="O12" s="1"/>
      <c r="P12" s="1"/>
      <c r="Q12" s="1"/>
      <c r="R12" s="1"/>
      <c r="S12" s="1"/>
      <c r="T12" s="1"/>
      <c r="U12" s="1"/>
      <c r="V12" s="1"/>
      <c r="W12" s="1"/>
      <c r="X12" s="1"/>
      <c r="Y12" s="1"/>
      <c r="Z12" s="1"/>
      <c r="AA12" s="1"/>
    </row>
    <row r="13" spans="1:27" ht="18.95" customHeight="1" x14ac:dyDescent="0.2">
      <c r="A13" s="290" t="s">
        <v>164</v>
      </c>
      <c r="B13" s="291">
        <v>462611</v>
      </c>
      <c r="C13" s="292">
        <v>910258</v>
      </c>
      <c r="D13" s="293">
        <f t="shared" si="3"/>
        <v>0.96765316864493056</v>
      </c>
      <c r="E13" s="91">
        <v>121629</v>
      </c>
      <c r="F13" s="148">
        <v>155433</v>
      </c>
      <c r="G13" s="94">
        <f t="shared" si="1"/>
        <v>0.27792713908689537</v>
      </c>
      <c r="H13" s="94"/>
      <c r="I13" s="1"/>
      <c r="J13" s="1"/>
      <c r="K13" s="1"/>
      <c r="L13" s="1"/>
      <c r="M13" s="1"/>
      <c r="N13" s="1"/>
      <c r="O13" s="1"/>
      <c r="P13" s="1"/>
      <c r="Q13" s="1"/>
      <c r="R13" s="1"/>
      <c r="S13" s="1"/>
      <c r="T13" s="1"/>
      <c r="U13" s="1"/>
      <c r="V13" s="1"/>
      <c r="W13" s="1"/>
      <c r="X13" s="1"/>
      <c r="Y13" s="1"/>
      <c r="Z13" s="1"/>
      <c r="AA13" s="1"/>
    </row>
    <row r="14" spans="1:27" ht="18.95" customHeight="1" x14ac:dyDescent="0.2">
      <c r="A14" s="290"/>
      <c r="B14" s="291"/>
      <c r="C14" s="292"/>
      <c r="D14" s="293"/>
      <c r="E14" s="187">
        <v>8.8107135486158953E-3</v>
      </c>
      <c r="F14" s="95">
        <v>1.0995562205768477E-2</v>
      </c>
      <c r="G14" s="94"/>
      <c r="H14" s="94">
        <f t="shared" si="2"/>
        <v>0.24797635799836068</v>
      </c>
      <c r="I14" s="1"/>
      <c r="J14" s="1"/>
      <c r="K14" s="1"/>
      <c r="L14" s="1"/>
      <c r="M14" s="1"/>
      <c r="N14" s="1"/>
      <c r="O14" s="1"/>
      <c r="P14" s="1"/>
      <c r="Q14" s="1"/>
      <c r="R14" s="1"/>
      <c r="S14" s="1"/>
      <c r="T14" s="1"/>
      <c r="U14" s="1"/>
      <c r="V14" s="1"/>
      <c r="W14" s="1"/>
      <c r="X14" s="1"/>
      <c r="Y14" s="1"/>
      <c r="Z14" s="1"/>
      <c r="AA14" s="1"/>
    </row>
    <row r="15" spans="1:27" ht="18.95" customHeight="1" x14ac:dyDescent="0.2">
      <c r="A15" s="23"/>
      <c r="B15" s="297">
        <f>SUM(B7:B14)</f>
        <v>187525443</v>
      </c>
      <c r="C15" s="299">
        <f>SUM(C7:C14)</f>
        <v>237366991</v>
      </c>
      <c r="D15" s="301">
        <f>(C15/B15)-1</f>
        <v>0.26578552330096339</v>
      </c>
      <c r="E15" s="189">
        <f>E7+E9+E11+E13</f>
        <v>660539</v>
      </c>
      <c r="F15" s="189">
        <f>F7+F9+F11+F13</f>
        <v>676853</v>
      </c>
      <c r="G15" s="190">
        <f>(F15/E15)-1</f>
        <v>2.4698011775232009E-2</v>
      </c>
      <c r="H15" s="191"/>
      <c r="I15" s="1"/>
      <c r="J15" s="1"/>
      <c r="K15" s="1"/>
      <c r="L15" s="1"/>
      <c r="M15" s="1"/>
      <c r="N15" s="1"/>
      <c r="O15" s="1"/>
      <c r="P15" s="1"/>
      <c r="Q15" s="1"/>
      <c r="R15" s="1"/>
      <c r="S15" s="1"/>
      <c r="T15" s="1"/>
      <c r="U15" s="1"/>
      <c r="V15" s="1"/>
      <c r="W15" s="1"/>
      <c r="X15" s="1"/>
      <c r="Y15" s="1"/>
      <c r="Z15" s="1"/>
      <c r="AA15" s="1"/>
    </row>
    <row r="16" spans="1:27" ht="18.95" customHeight="1" thickBot="1" x14ac:dyDescent="0.25">
      <c r="A16" s="11" t="s">
        <v>165</v>
      </c>
      <c r="B16" s="298"/>
      <c r="C16" s="300"/>
      <c r="D16" s="302"/>
      <c r="E16" s="192">
        <v>2.8917887177493436E-3</v>
      </c>
      <c r="F16" s="193">
        <v>2.2334209243362541E-3</v>
      </c>
      <c r="G16" s="134"/>
      <c r="H16" s="134">
        <f>(F16-E16)/E16</f>
        <v>-0.22766801370104661</v>
      </c>
      <c r="I16" s="1"/>
      <c r="J16" s="1"/>
      <c r="K16" s="1"/>
      <c r="L16" s="1"/>
      <c r="M16" s="1"/>
      <c r="N16" s="1"/>
      <c r="O16" s="1"/>
      <c r="P16" s="1"/>
      <c r="Q16" s="1"/>
      <c r="R16" s="1"/>
      <c r="S16" s="1"/>
      <c r="T16" s="1"/>
      <c r="U16" s="1"/>
      <c r="V16" s="1"/>
      <c r="W16" s="1"/>
      <c r="X16" s="1"/>
      <c r="Y16" s="1"/>
      <c r="Z16" s="1"/>
      <c r="AA16" s="1"/>
    </row>
    <row r="17" spans="1:27" ht="12.75" customHeight="1" x14ac:dyDescent="0.2">
      <c r="A17" s="90" t="s">
        <v>182</v>
      </c>
      <c r="B17" s="90"/>
      <c r="C17" s="90"/>
      <c r="D17" s="1"/>
      <c r="E17" s="1"/>
      <c r="F17" s="1"/>
      <c r="G17" s="1"/>
      <c r="H17" s="1"/>
      <c r="I17" s="1"/>
      <c r="J17" s="1"/>
      <c r="K17" s="1"/>
      <c r="L17" s="1"/>
      <c r="M17" s="1"/>
      <c r="N17" s="1"/>
      <c r="O17" s="1"/>
      <c r="P17" s="1"/>
      <c r="Q17" s="1"/>
      <c r="R17" s="1"/>
      <c r="S17" s="1"/>
      <c r="T17" s="1"/>
      <c r="U17" s="1"/>
      <c r="V17" s="1"/>
      <c r="W17" s="1"/>
      <c r="X17" s="1"/>
      <c r="Y17" s="1"/>
      <c r="Z17" s="1"/>
      <c r="AA17" s="1"/>
    </row>
    <row r="18" spans="1:27" ht="12.75" customHeight="1" x14ac:dyDescent="0.2">
      <c r="A18" s="89" t="s">
        <v>183</v>
      </c>
      <c r="B18" s="89"/>
      <c r="C18" s="89"/>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8.9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8.9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8.9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8.9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8.9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8.9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8.95" customHeight="1" x14ac:dyDescent="0.2"/>
    <row r="37" spans="1:27" x14ac:dyDescent="0.2">
      <c r="G37" s="1"/>
    </row>
    <row r="48" spans="1:27" x14ac:dyDescent="0.2">
      <c r="I48" s="1"/>
    </row>
  </sheetData>
  <mergeCells count="27">
    <mergeCell ref="C7:C8"/>
    <mergeCell ref="D7:D8"/>
    <mergeCell ref="B15:B16"/>
    <mergeCell ref="C15:C16"/>
    <mergeCell ref="D15:D16"/>
    <mergeCell ref="B4:D4"/>
    <mergeCell ref="E4:H4"/>
    <mergeCell ref="A13:A14"/>
    <mergeCell ref="B13:B14"/>
    <mergeCell ref="C13:C14"/>
    <mergeCell ref="D13:D14"/>
    <mergeCell ref="A11:A12"/>
    <mergeCell ref="B11:B12"/>
    <mergeCell ref="C11:C12"/>
    <mergeCell ref="D11:D12"/>
    <mergeCell ref="A9:A10"/>
    <mergeCell ref="B9:B10"/>
    <mergeCell ref="C9:C10"/>
    <mergeCell ref="D9:D10"/>
    <mergeCell ref="A7:A8"/>
    <mergeCell ref="B7:B8"/>
    <mergeCell ref="A5:A6"/>
    <mergeCell ref="B5:B6"/>
    <mergeCell ref="C5:C6"/>
    <mergeCell ref="D5:D6"/>
    <mergeCell ref="G5:H5"/>
    <mergeCell ref="E6:F6"/>
  </mergeCells>
  <pageMargins left="0.7" right="0.7" top="0.75" bottom="0.75" header="0.3" footer="0.3"/>
  <pageSetup paperSize="9" scale="72" orientation="portrait" verticalDpi="0" r:id="rId1"/>
  <ignoredErrors>
    <ignoredError sqref="B15:D15 B16:D16 G16:H16 G15:H15" formulaRange="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4BC4-7137-4EC3-8CC7-A7F9EB30A59C}">
  <sheetPr>
    <pageSetUpPr fitToPage="1"/>
  </sheetPr>
  <dimension ref="A1:AA48"/>
  <sheetViews>
    <sheetView showGridLines="0" zoomScaleNormal="100" workbookViewId="0"/>
  </sheetViews>
  <sheetFormatPr defaultColWidth="9.140625" defaultRowHeight="12" x14ac:dyDescent="0.2"/>
  <cols>
    <col min="1" max="1" width="19.7109375" style="3" customWidth="1"/>
    <col min="2" max="8" width="12.7109375" style="3" customWidth="1"/>
    <col min="9" max="9" width="2.42578125" style="3" customWidth="1"/>
    <col min="10" max="16384" width="9.140625" style="3"/>
  </cols>
  <sheetData>
    <row r="1" spans="1:27" ht="6.75" customHeight="1" x14ac:dyDescent="0.2"/>
    <row r="2" spans="1:27" ht="18.95" customHeight="1" x14ac:dyDescent="0.25">
      <c r="A2" s="13" t="s">
        <v>219</v>
      </c>
      <c r="B2" s="14"/>
      <c r="C2" s="2"/>
      <c r="D2" s="2"/>
      <c r="E2" s="1"/>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1"/>
      <c r="F3" s="1"/>
      <c r="G3" s="1"/>
      <c r="H3" s="1"/>
      <c r="I3" s="1"/>
      <c r="J3" s="1"/>
      <c r="K3" s="1"/>
      <c r="L3" s="1"/>
      <c r="M3" s="1"/>
      <c r="N3" s="1"/>
      <c r="O3" s="1"/>
      <c r="P3" s="1"/>
      <c r="Q3" s="1"/>
      <c r="R3" s="1"/>
      <c r="S3" s="1"/>
      <c r="T3" s="1"/>
      <c r="U3" s="1"/>
      <c r="V3" s="1"/>
      <c r="W3" s="1"/>
      <c r="X3" s="1"/>
      <c r="Y3" s="1"/>
      <c r="Z3" s="1"/>
      <c r="AA3" s="1"/>
    </row>
    <row r="4" spans="1:27" ht="30.75" customHeight="1" x14ac:dyDescent="0.2">
      <c r="A4" s="15" t="str">
        <f>+'1'!A4</f>
        <v>Janeiro-setembro</v>
      </c>
      <c r="B4" s="259" t="s">
        <v>121</v>
      </c>
      <c r="C4" s="260"/>
      <c r="D4" s="261"/>
      <c r="E4" s="259" t="s">
        <v>110</v>
      </c>
      <c r="F4" s="260"/>
      <c r="G4" s="260"/>
      <c r="H4" s="260"/>
      <c r="I4" s="1"/>
      <c r="J4" s="1"/>
      <c r="K4" s="1"/>
      <c r="L4" s="1"/>
      <c r="M4" s="1"/>
      <c r="N4" s="1"/>
      <c r="O4" s="1"/>
      <c r="P4" s="1"/>
      <c r="Q4" s="1"/>
      <c r="R4" s="1"/>
      <c r="S4" s="1"/>
      <c r="T4" s="1"/>
      <c r="U4" s="1"/>
      <c r="V4" s="1"/>
      <c r="W4" s="1"/>
      <c r="X4" s="1"/>
      <c r="Y4" s="1"/>
      <c r="Z4" s="1"/>
      <c r="AA4" s="1"/>
    </row>
    <row r="5" spans="1:27" ht="26.25" customHeight="1" x14ac:dyDescent="0.2">
      <c r="A5" s="283" t="s">
        <v>120</v>
      </c>
      <c r="B5" s="275">
        <v>2024</v>
      </c>
      <c r="C5" s="276">
        <v>2025</v>
      </c>
      <c r="D5" s="286" t="s">
        <v>177</v>
      </c>
      <c r="E5" s="20">
        <v>2024</v>
      </c>
      <c r="F5" s="20">
        <v>2025</v>
      </c>
      <c r="G5" s="305" t="s">
        <v>177</v>
      </c>
      <c r="H5" s="288"/>
      <c r="I5" s="1"/>
      <c r="J5" s="1"/>
      <c r="K5" s="1"/>
      <c r="L5" s="1"/>
      <c r="M5" s="1"/>
      <c r="N5" s="1"/>
      <c r="O5" s="1"/>
      <c r="P5" s="1"/>
      <c r="Q5" s="1"/>
      <c r="R5" s="1"/>
      <c r="S5" s="1"/>
      <c r="T5" s="1"/>
      <c r="U5" s="1"/>
      <c r="V5" s="1"/>
      <c r="W5" s="1"/>
      <c r="X5" s="1"/>
      <c r="Y5" s="1"/>
      <c r="Z5" s="1"/>
      <c r="AA5" s="1"/>
    </row>
    <row r="6" spans="1:27" ht="27" customHeight="1" x14ac:dyDescent="0.2">
      <c r="A6" s="283"/>
      <c r="B6" s="284"/>
      <c r="C6" s="285"/>
      <c r="D6" s="287"/>
      <c r="E6" s="272" t="s">
        <v>147</v>
      </c>
      <c r="F6" s="272"/>
      <c r="G6" s="86" t="s">
        <v>148</v>
      </c>
      <c r="H6" s="87" t="s">
        <v>149</v>
      </c>
      <c r="I6" s="1"/>
      <c r="J6" s="1"/>
      <c r="K6" s="1"/>
      <c r="L6" s="1"/>
      <c r="M6" s="1"/>
      <c r="N6" s="1"/>
      <c r="O6" s="1"/>
      <c r="P6" s="1"/>
      <c r="Q6" s="1"/>
      <c r="R6" s="1"/>
      <c r="S6" s="1"/>
      <c r="T6" s="1"/>
      <c r="U6" s="1"/>
      <c r="V6" s="1"/>
      <c r="W6" s="1"/>
      <c r="X6" s="1"/>
      <c r="Y6" s="1"/>
      <c r="Z6" s="1"/>
      <c r="AA6" s="1"/>
    </row>
    <row r="7" spans="1:27" ht="18.95" customHeight="1" x14ac:dyDescent="0.2">
      <c r="A7" s="303" t="s">
        <v>35</v>
      </c>
      <c r="B7" s="297">
        <v>1342901</v>
      </c>
      <c r="C7" s="299">
        <v>1453793</v>
      </c>
      <c r="D7" s="301">
        <f>(C7/B7)-1</f>
        <v>8.2576452024385905E-2</v>
      </c>
      <c r="E7" s="188">
        <v>22134</v>
      </c>
      <c r="F7" s="188">
        <v>23847</v>
      </c>
      <c r="G7" s="194">
        <f>(F7/E7)-1</f>
        <v>7.7392247221469201E-2</v>
      </c>
      <c r="H7" s="12"/>
      <c r="I7" s="1"/>
      <c r="J7" s="1"/>
      <c r="K7" s="1"/>
      <c r="L7" s="1"/>
      <c r="M7" s="1"/>
      <c r="N7" s="1"/>
      <c r="O7" s="1"/>
      <c r="P7" s="1"/>
      <c r="Q7" s="1"/>
      <c r="R7" s="1"/>
      <c r="S7" s="1"/>
      <c r="T7" s="1"/>
      <c r="U7" s="1"/>
      <c r="V7" s="1"/>
      <c r="W7" s="1"/>
      <c r="X7" s="1"/>
      <c r="Y7" s="1"/>
      <c r="Z7" s="1"/>
      <c r="AA7" s="1"/>
    </row>
    <row r="8" spans="1:27" ht="18.95" customHeight="1" thickBot="1" x14ac:dyDescent="0.25">
      <c r="A8" s="304"/>
      <c r="B8" s="298"/>
      <c r="C8" s="300"/>
      <c r="D8" s="302"/>
      <c r="E8" s="186">
        <f>E7/B7</f>
        <v>1.6482227654905313E-2</v>
      </c>
      <c r="F8" s="186">
        <f>F7/C7</f>
        <v>1.6403298131164479E-2</v>
      </c>
      <c r="G8" s="195"/>
      <c r="H8" s="134">
        <f>(F8/E8)-1</f>
        <v>-4.7887655354246217E-3</v>
      </c>
      <c r="I8" s="1"/>
      <c r="J8" s="1"/>
      <c r="K8" s="1"/>
      <c r="L8" s="1"/>
      <c r="M8" s="1"/>
      <c r="N8" s="1"/>
      <c r="O8" s="1"/>
      <c r="P8" s="1"/>
      <c r="Q8" s="1"/>
      <c r="R8" s="1"/>
      <c r="S8" s="1"/>
      <c r="T8" s="1"/>
      <c r="U8" s="1"/>
      <c r="V8" s="1"/>
      <c r="W8" s="1"/>
      <c r="X8" s="1"/>
      <c r="Y8" s="1"/>
      <c r="Z8" s="1"/>
      <c r="AA8" s="1"/>
    </row>
    <row r="9" spans="1:27" ht="18.95" customHeight="1" x14ac:dyDescent="0.2">
      <c r="A9" s="1"/>
      <c r="B9" s="1"/>
      <c r="C9" s="1"/>
      <c r="D9" s="1"/>
      <c r="E9" s="1"/>
      <c r="F9" s="1"/>
      <c r="G9" s="1"/>
      <c r="H9" s="1"/>
      <c r="I9" s="1"/>
      <c r="J9" s="1"/>
      <c r="K9" s="1"/>
      <c r="L9" s="1"/>
      <c r="M9" s="1"/>
      <c r="N9" s="1"/>
      <c r="O9" s="1"/>
      <c r="P9" s="1"/>
      <c r="Q9" s="1"/>
      <c r="R9" s="1"/>
      <c r="S9" s="1"/>
      <c r="T9" s="1"/>
      <c r="U9" s="1"/>
      <c r="V9" s="1"/>
      <c r="W9" s="1"/>
      <c r="X9" s="1"/>
      <c r="Y9" s="1"/>
      <c r="Z9" s="1"/>
      <c r="AA9" s="1"/>
    </row>
    <row r="10" spans="1:27" ht="18.9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8.9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7" spans="1:27" x14ac:dyDescent="0.2">
      <c r="G37" s="1"/>
    </row>
    <row r="48" spans="1:27" x14ac:dyDescent="0.2">
      <c r="I48" s="1"/>
    </row>
  </sheetData>
  <mergeCells count="12">
    <mergeCell ref="B4:D4"/>
    <mergeCell ref="E4:H4"/>
    <mergeCell ref="A7:A8"/>
    <mergeCell ref="B7:B8"/>
    <mergeCell ref="C7:C8"/>
    <mergeCell ref="D7:D8"/>
    <mergeCell ref="A5:A6"/>
    <mergeCell ref="B5:B6"/>
    <mergeCell ref="C5:C6"/>
    <mergeCell ref="D5:D6"/>
    <mergeCell ref="G5:H5"/>
    <mergeCell ref="E6:F6"/>
  </mergeCells>
  <printOptions horizontalCentered="1"/>
  <pageMargins left="0.23622047244094491" right="0.23622047244094491" top="0.74803149606299213" bottom="0.74803149606299213" header="0.31496062992125984" footer="0.31496062992125984"/>
  <pageSetup paperSize="9" scale="91" orientation="portrait"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A722-07FE-4348-94C1-50848E912BEA}">
  <sheetPr>
    <pageSetUpPr fitToPage="1"/>
  </sheetPr>
  <dimension ref="A1:AA48"/>
  <sheetViews>
    <sheetView showGridLines="0" zoomScaleNormal="100" workbookViewId="0"/>
  </sheetViews>
  <sheetFormatPr defaultColWidth="9.140625" defaultRowHeight="12" x14ac:dyDescent="0.2"/>
  <cols>
    <col min="1" max="1" width="34.7109375" style="3" customWidth="1"/>
    <col min="2" max="4" width="10.7109375" style="3" customWidth="1"/>
    <col min="5" max="5" width="3.28515625" style="3" customWidth="1"/>
    <col min="6" max="16384" width="9.140625" style="3"/>
  </cols>
  <sheetData>
    <row r="1" spans="1:27" ht="6.75" customHeight="1" x14ac:dyDescent="0.2"/>
    <row r="2" spans="1:27" ht="18.95" customHeight="1" x14ac:dyDescent="0.25">
      <c r="A2" s="13" t="s">
        <v>220</v>
      </c>
      <c r="B2" s="14"/>
      <c r="C2" s="2"/>
      <c r="D2" s="2"/>
      <c r="E2" s="1"/>
      <c r="F2" s="1"/>
      <c r="G2" s="1"/>
      <c r="H2" s="1"/>
      <c r="I2" s="1"/>
      <c r="J2" s="1"/>
      <c r="K2" s="1"/>
      <c r="L2" s="1"/>
      <c r="M2" s="1"/>
      <c r="N2" s="1"/>
      <c r="O2" s="1"/>
      <c r="P2" s="1"/>
      <c r="Q2" s="1"/>
      <c r="R2" s="1"/>
      <c r="S2" s="1"/>
      <c r="T2" s="1"/>
      <c r="U2" s="1"/>
      <c r="V2" s="1"/>
      <c r="W2" s="1"/>
      <c r="X2" s="1"/>
      <c r="Y2" s="1"/>
      <c r="Z2" s="1"/>
      <c r="AA2" s="1"/>
    </row>
    <row r="3" spans="1:27" ht="18.95" customHeight="1" thickBot="1" x14ac:dyDescent="0.25">
      <c r="A3" s="2"/>
      <c r="B3" s="2"/>
      <c r="C3" s="2"/>
      <c r="D3" s="2"/>
      <c r="E3" s="1"/>
      <c r="F3" s="1"/>
      <c r="G3" s="1"/>
      <c r="H3" s="1"/>
      <c r="I3" s="1"/>
      <c r="J3" s="1"/>
      <c r="K3" s="1"/>
      <c r="L3" s="1"/>
      <c r="M3" s="1"/>
      <c r="N3" s="1"/>
      <c r="O3" s="1"/>
      <c r="P3" s="1"/>
      <c r="Q3" s="1"/>
      <c r="R3" s="1"/>
      <c r="S3" s="1"/>
      <c r="T3" s="1"/>
      <c r="U3" s="1"/>
      <c r="V3" s="1"/>
      <c r="W3" s="1"/>
      <c r="X3" s="1"/>
      <c r="Y3" s="1"/>
      <c r="Z3" s="1"/>
      <c r="AA3" s="1"/>
    </row>
    <row r="4" spans="1:27" ht="18.95" customHeight="1" x14ac:dyDescent="0.2">
      <c r="A4" s="15" t="str">
        <f>+'1'!A4</f>
        <v>Janeiro-setembro</v>
      </c>
      <c r="B4" s="259" t="s">
        <v>123</v>
      </c>
      <c r="C4" s="260"/>
      <c r="D4" s="261"/>
      <c r="E4" s="1"/>
      <c r="F4" s="1"/>
      <c r="G4" s="1"/>
      <c r="H4" s="1"/>
      <c r="I4" s="1"/>
      <c r="J4" s="1"/>
      <c r="K4" s="1"/>
      <c r="L4" s="1"/>
      <c r="M4" s="1"/>
      <c r="N4" s="1"/>
      <c r="O4" s="1"/>
      <c r="P4" s="1"/>
      <c r="Q4" s="1"/>
      <c r="R4" s="1"/>
      <c r="S4" s="1"/>
      <c r="T4" s="1"/>
      <c r="U4" s="1"/>
      <c r="V4" s="1"/>
      <c r="W4" s="1"/>
      <c r="X4" s="1"/>
      <c r="Y4" s="1"/>
      <c r="Z4" s="1"/>
      <c r="AA4" s="1"/>
    </row>
    <row r="5" spans="1:27" ht="30" customHeight="1" x14ac:dyDescent="0.2">
      <c r="A5" s="9" t="s">
        <v>111</v>
      </c>
      <c r="B5" s="16">
        <v>2024</v>
      </c>
      <c r="C5" s="17">
        <v>2025</v>
      </c>
      <c r="D5" s="18" t="s">
        <v>177</v>
      </c>
      <c r="E5" s="1"/>
      <c r="F5" s="1"/>
      <c r="G5" s="1"/>
      <c r="H5" s="1"/>
      <c r="I5" s="1"/>
      <c r="J5" s="1"/>
      <c r="K5" s="1"/>
      <c r="L5" s="1"/>
      <c r="M5" s="1"/>
      <c r="N5" s="1"/>
      <c r="O5" s="1"/>
      <c r="P5" s="1"/>
      <c r="Q5" s="1"/>
      <c r="R5" s="1"/>
      <c r="S5" s="1"/>
      <c r="T5" s="1"/>
      <c r="U5" s="1"/>
      <c r="V5" s="1"/>
      <c r="W5" s="1"/>
      <c r="X5" s="1"/>
      <c r="Y5" s="1"/>
      <c r="Z5" s="1"/>
      <c r="AA5" s="1"/>
    </row>
    <row r="6" spans="1:27" ht="18.95" customHeight="1" x14ac:dyDescent="0.2">
      <c r="A6" s="19" t="s">
        <v>113</v>
      </c>
      <c r="B6" s="196">
        <v>10384</v>
      </c>
      <c r="C6" s="197">
        <v>13650</v>
      </c>
      <c r="D6" s="198">
        <f>(C6/B6)-1</f>
        <v>0.31452234206471497</v>
      </c>
      <c r="E6" s="1"/>
      <c r="F6" s="1"/>
      <c r="G6" s="1"/>
      <c r="H6" s="1"/>
      <c r="I6" s="1"/>
      <c r="J6" s="1"/>
      <c r="K6" s="1"/>
      <c r="L6" s="1"/>
      <c r="M6" s="1"/>
      <c r="N6" s="1"/>
      <c r="O6" s="1"/>
      <c r="P6" s="1"/>
      <c r="Q6" s="1"/>
      <c r="R6" s="1"/>
      <c r="S6" s="1"/>
      <c r="T6" s="1"/>
      <c r="U6" s="1"/>
      <c r="V6" s="1"/>
      <c r="W6" s="1"/>
      <c r="X6" s="1"/>
      <c r="Y6" s="1"/>
      <c r="Z6" s="1"/>
      <c r="AA6" s="1"/>
    </row>
    <row r="7" spans="1:27" ht="18.95" customHeight="1" x14ac:dyDescent="0.2">
      <c r="A7" s="19" t="s">
        <v>122</v>
      </c>
      <c r="B7" s="102">
        <v>5963</v>
      </c>
      <c r="C7" s="103">
        <v>8293</v>
      </c>
      <c r="D7" s="199">
        <f t="shared" ref="D7:D9" si="0">(C7/B7)-1</f>
        <v>0.39074291464028166</v>
      </c>
      <c r="E7" s="1"/>
      <c r="F7" s="1"/>
      <c r="G7" s="1"/>
      <c r="H7" s="1"/>
      <c r="I7" s="1"/>
      <c r="J7" s="1"/>
      <c r="K7" s="1"/>
      <c r="L7" s="1"/>
      <c r="M7" s="1"/>
      <c r="N7" s="1"/>
      <c r="O7" s="1"/>
      <c r="P7" s="1"/>
      <c r="Q7" s="1"/>
      <c r="R7" s="1"/>
      <c r="S7" s="1"/>
      <c r="T7" s="1"/>
      <c r="U7" s="1"/>
      <c r="V7" s="1"/>
      <c r="W7" s="1"/>
      <c r="X7" s="1"/>
      <c r="Y7" s="1"/>
      <c r="Z7" s="1"/>
      <c r="AA7" s="1"/>
    </row>
    <row r="8" spans="1:27" ht="18.95" customHeight="1" x14ac:dyDescent="0.2">
      <c r="A8" s="19" t="s">
        <v>118</v>
      </c>
      <c r="B8" s="102">
        <v>2796</v>
      </c>
      <c r="C8" s="103">
        <v>8227</v>
      </c>
      <c r="D8" s="199">
        <f t="shared" si="0"/>
        <v>1.94241773962804</v>
      </c>
      <c r="E8" s="1"/>
      <c r="F8" s="1"/>
      <c r="G8" s="1"/>
      <c r="H8" s="1"/>
      <c r="I8" s="1"/>
      <c r="J8" s="1"/>
      <c r="K8" s="1"/>
      <c r="L8" s="1"/>
      <c r="M8" s="1"/>
      <c r="N8" s="1"/>
      <c r="O8" s="1"/>
      <c r="P8" s="1"/>
      <c r="Q8" s="1"/>
      <c r="R8" s="1"/>
      <c r="S8" s="1"/>
      <c r="T8" s="1"/>
      <c r="U8" s="1"/>
      <c r="V8" s="1"/>
      <c r="W8" s="1"/>
      <c r="X8" s="1"/>
      <c r="Y8" s="1"/>
      <c r="Z8" s="1"/>
      <c r="AA8" s="1"/>
    </row>
    <row r="9" spans="1:27" ht="18.95" customHeight="1" thickBot="1" x14ac:dyDescent="0.25">
      <c r="A9" s="11" t="s">
        <v>35</v>
      </c>
      <c r="B9" s="131">
        <f>SUM(B6:B8)</f>
        <v>19143</v>
      </c>
      <c r="C9" s="132">
        <f>SUM(C6:C8)</f>
        <v>30170</v>
      </c>
      <c r="D9" s="134">
        <f t="shared" si="0"/>
        <v>0.57603301467899493</v>
      </c>
      <c r="E9" s="1"/>
      <c r="F9" s="1"/>
      <c r="G9" s="1"/>
      <c r="H9" s="1"/>
      <c r="I9" s="1"/>
      <c r="J9" s="1"/>
      <c r="K9" s="1"/>
      <c r="L9" s="1"/>
      <c r="M9" s="1"/>
      <c r="N9" s="1"/>
      <c r="O9" s="1"/>
      <c r="P9" s="1"/>
      <c r="Q9" s="1"/>
      <c r="R9" s="1"/>
      <c r="S9" s="1"/>
      <c r="T9" s="1"/>
      <c r="U9" s="1"/>
      <c r="V9" s="1"/>
      <c r="W9" s="1"/>
      <c r="X9" s="1"/>
      <c r="Y9" s="1"/>
      <c r="Z9" s="1"/>
      <c r="AA9" s="1"/>
    </row>
    <row r="10" spans="1:27" ht="18.9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8.9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8.9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8.9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8.9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7" spans="1:27" x14ac:dyDescent="0.2">
      <c r="G37" s="1"/>
    </row>
    <row r="48" spans="1:27" x14ac:dyDescent="0.2">
      <c r="I48" s="1"/>
    </row>
  </sheetData>
  <mergeCells count="1">
    <mergeCell ref="B4:D4"/>
  </mergeCells>
  <printOptions horizontalCentered="1"/>
  <pageMargins left="0.70866141732283472" right="0.70866141732283472" top="0.74803149606299213" bottom="0.74803149606299213" header="0.31496062992125984" footer="0.31496062992125984"/>
  <pageSetup paperSize="9" orientation="portrait" verticalDpi="0" r:id="rId1"/>
  <ignoredErrors>
    <ignoredError sqref="B9:C9" formulaRange="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1606-A70F-4C00-856A-128CE46064D9}">
  <sheetPr>
    <pageSetUpPr fitToPage="1"/>
  </sheetPr>
  <dimension ref="A1:AA47"/>
  <sheetViews>
    <sheetView showGridLines="0" zoomScaleNormal="100" workbookViewId="0"/>
  </sheetViews>
  <sheetFormatPr defaultColWidth="9.140625" defaultRowHeight="12" x14ac:dyDescent="0.2"/>
  <cols>
    <col min="1" max="1" width="27.140625" style="3" customWidth="1"/>
    <col min="2" max="2" width="22.85546875" style="3" customWidth="1"/>
    <col min="3" max="3" width="3.85546875" style="3" customWidth="1"/>
    <col min="4" max="16384" width="9.140625" style="3"/>
  </cols>
  <sheetData>
    <row r="1" spans="1:27" ht="6.75" customHeight="1" x14ac:dyDescent="0.2">
      <c r="A1" s="2"/>
      <c r="B1" s="2"/>
      <c r="C1" s="1"/>
      <c r="D1" s="1"/>
      <c r="E1" s="1"/>
      <c r="F1" s="1"/>
      <c r="G1" s="1"/>
      <c r="H1" s="1"/>
      <c r="I1" s="1"/>
      <c r="J1" s="1"/>
      <c r="K1" s="1"/>
      <c r="L1" s="1"/>
      <c r="M1" s="1"/>
      <c r="N1" s="1"/>
      <c r="O1" s="1"/>
      <c r="P1" s="1"/>
      <c r="Q1" s="1"/>
      <c r="R1" s="1"/>
      <c r="S1" s="1"/>
      <c r="T1" s="1"/>
      <c r="U1" s="1"/>
      <c r="V1" s="1"/>
      <c r="W1" s="1"/>
      <c r="X1" s="1"/>
      <c r="Y1" s="1"/>
      <c r="Z1" s="1"/>
      <c r="AA1" s="1"/>
    </row>
    <row r="2" spans="1:27" ht="42" customHeight="1" x14ac:dyDescent="0.2">
      <c r="A2" s="306" t="s">
        <v>228</v>
      </c>
      <c r="B2" s="306"/>
      <c r="C2" s="306"/>
      <c r="D2" s="306"/>
      <c r="E2" s="306"/>
      <c r="F2" s="1"/>
      <c r="G2" s="1"/>
      <c r="H2" s="1"/>
      <c r="I2" s="1"/>
      <c r="J2" s="1"/>
      <c r="K2" s="1"/>
      <c r="L2" s="1"/>
      <c r="M2" s="1"/>
      <c r="N2" s="1"/>
      <c r="O2" s="1"/>
      <c r="P2" s="1"/>
      <c r="Q2" s="1"/>
      <c r="R2" s="1"/>
      <c r="S2" s="1"/>
      <c r="T2" s="1"/>
      <c r="U2" s="1"/>
      <c r="V2" s="1"/>
      <c r="W2" s="1"/>
      <c r="X2" s="1"/>
      <c r="Y2" s="1"/>
      <c r="Z2" s="1"/>
      <c r="AA2" s="1"/>
    </row>
    <row r="3" spans="1:27" ht="17.100000000000001" customHeight="1" thickBot="1" x14ac:dyDescent="0.25">
      <c r="A3" s="9"/>
      <c r="B3" s="9"/>
      <c r="C3" s="9"/>
      <c r="D3" s="1"/>
      <c r="E3" s="1"/>
      <c r="F3" s="1"/>
      <c r="G3" s="1"/>
      <c r="H3" s="1"/>
      <c r="I3" s="1"/>
      <c r="J3" s="1"/>
      <c r="K3" s="1"/>
      <c r="L3" s="1"/>
      <c r="M3" s="1"/>
      <c r="N3" s="1"/>
      <c r="O3" s="1"/>
      <c r="P3" s="1"/>
      <c r="Q3" s="1"/>
      <c r="R3" s="1"/>
      <c r="S3" s="1"/>
      <c r="T3" s="1"/>
      <c r="U3" s="1"/>
      <c r="V3" s="1"/>
      <c r="W3" s="1"/>
      <c r="X3" s="1"/>
      <c r="Y3" s="1"/>
      <c r="Z3" s="1"/>
      <c r="AA3" s="1"/>
    </row>
    <row r="4" spans="1:27" ht="18.95" customHeight="1" x14ac:dyDescent="0.2">
      <c r="A4" s="214" t="s">
        <v>124</v>
      </c>
      <c r="B4" s="213" t="s">
        <v>125</v>
      </c>
      <c r="C4" s="1"/>
      <c r="D4" s="1"/>
      <c r="E4" s="1"/>
      <c r="F4" s="1"/>
      <c r="G4" s="1"/>
      <c r="H4" s="1"/>
      <c r="I4" s="1"/>
      <c r="J4" s="1"/>
      <c r="K4" s="1"/>
      <c r="L4" s="1"/>
      <c r="M4" s="1"/>
      <c r="N4" s="1"/>
      <c r="O4" s="1"/>
      <c r="P4" s="1"/>
      <c r="Q4" s="1"/>
      <c r="R4" s="1"/>
      <c r="S4" s="1"/>
      <c r="T4" s="1"/>
      <c r="U4" s="1"/>
      <c r="V4" s="1"/>
      <c r="W4" s="1"/>
      <c r="X4" s="1"/>
      <c r="Y4" s="1"/>
      <c r="Z4" s="1"/>
      <c r="AA4" s="1"/>
    </row>
    <row r="5" spans="1:27" ht="17.100000000000001" customHeight="1" x14ac:dyDescent="0.2">
      <c r="A5" s="10">
        <v>0</v>
      </c>
      <c r="B5" s="103">
        <v>3872</v>
      </c>
      <c r="C5" s="1"/>
      <c r="D5" s="1"/>
      <c r="E5" s="1"/>
      <c r="F5" s="1"/>
      <c r="G5" s="1"/>
      <c r="H5" s="1"/>
      <c r="I5" s="1"/>
      <c r="J5" s="1"/>
      <c r="K5" s="1"/>
      <c r="L5" s="1"/>
      <c r="M5" s="1"/>
      <c r="N5" s="1"/>
      <c r="O5" s="1"/>
      <c r="P5" s="1"/>
      <c r="Q5" s="1"/>
      <c r="R5" s="1"/>
      <c r="S5" s="1"/>
      <c r="T5" s="1"/>
      <c r="U5" s="1"/>
      <c r="V5" s="1"/>
      <c r="W5" s="1"/>
      <c r="X5" s="1"/>
      <c r="Y5" s="1"/>
      <c r="Z5" s="1"/>
      <c r="AA5" s="1"/>
    </row>
    <row r="6" spans="1:27" ht="17.100000000000001" customHeight="1" x14ac:dyDescent="0.2">
      <c r="A6" s="10">
        <v>1</v>
      </c>
      <c r="B6" s="103">
        <v>7</v>
      </c>
      <c r="C6" s="1"/>
      <c r="D6" s="1"/>
      <c r="E6" s="1"/>
      <c r="F6" s="1"/>
      <c r="G6" s="1"/>
      <c r="H6" s="1"/>
      <c r="I6" s="1"/>
      <c r="J6" s="1"/>
      <c r="K6" s="1"/>
      <c r="L6" s="1"/>
      <c r="M6" s="1"/>
      <c r="N6" s="1"/>
      <c r="O6" s="1"/>
      <c r="P6" s="1"/>
      <c r="Q6" s="1"/>
      <c r="R6" s="1"/>
      <c r="S6" s="1"/>
      <c r="T6" s="1"/>
      <c r="U6" s="1"/>
      <c r="V6" s="1"/>
      <c r="W6" s="1"/>
      <c r="X6" s="1"/>
      <c r="Y6" s="1"/>
      <c r="Z6" s="1"/>
      <c r="AA6" s="1"/>
    </row>
    <row r="7" spans="1:27" ht="17.100000000000001" customHeight="1" x14ac:dyDescent="0.2">
      <c r="A7" s="10">
        <v>2</v>
      </c>
      <c r="B7" s="103">
        <v>49</v>
      </c>
      <c r="C7" s="1"/>
      <c r="D7" s="1"/>
      <c r="E7" s="1"/>
      <c r="F7" s="1"/>
      <c r="G7" s="1"/>
      <c r="H7" s="1"/>
      <c r="I7" s="1"/>
      <c r="J7" s="1"/>
      <c r="K7" s="1"/>
      <c r="L7" s="1"/>
      <c r="M7" s="1"/>
      <c r="N7" s="1"/>
      <c r="O7" s="1"/>
      <c r="P7" s="1"/>
      <c r="Q7" s="1"/>
      <c r="R7" s="1"/>
      <c r="S7" s="1"/>
      <c r="T7" s="1"/>
      <c r="U7" s="1"/>
      <c r="V7" s="1"/>
      <c r="W7" s="1"/>
      <c r="X7" s="1"/>
      <c r="Y7" s="1"/>
      <c r="Z7" s="1"/>
      <c r="AA7" s="1"/>
    </row>
    <row r="8" spans="1:27" ht="17.100000000000001" customHeight="1" x14ac:dyDescent="0.2">
      <c r="A8" s="10">
        <v>3</v>
      </c>
      <c r="B8" s="103">
        <v>7798</v>
      </c>
      <c r="C8" s="1"/>
      <c r="D8" s="1"/>
      <c r="E8" s="1"/>
      <c r="F8" s="1"/>
      <c r="G8" s="1"/>
      <c r="H8" s="1"/>
      <c r="I8" s="1"/>
      <c r="J8" s="1"/>
      <c r="K8" s="1"/>
      <c r="L8" s="1"/>
      <c r="M8" s="1"/>
      <c r="N8" s="1"/>
      <c r="O8" s="1"/>
      <c r="P8" s="1"/>
      <c r="Q8" s="1"/>
      <c r="R8" s="1"/>
      <c r="S8" s="1"/>
      <c r="T8" s="1"/>
      <c r="U8" s="1"/>
      <c r="V8" s="1"/>
      <c r="W8" s="1"/>
      <c r="X8" s="1"/>
      <c r="Y8" s="1"/>
      <c r="Z8" s="1"/>
      <c r="AA8" s="1"/>
    </row>
    <row r="9" spans="1:27" ht="17.100000000000001" customHeight="1" x14ac:dyDescent="0.2">
      <c r="A9" s="10">
        <v>4</v>
      </c>
      <c r="B9" s="103">
        <v>1139</v>
      </c>
      <c r="C9" s="1"/>
      <c r="D9" s="1"/>
      <c r="E9" s="1"/>
      <c r="F9" s="1"/>
      <c r="G9" s="1"/>
      <c r="H9" s="1"/>
      <c r="I9" s="1"/>
      <c r="J9" s="1"/>
      <c r="K9" s="1"/>
      <c r="L9" s="1"/>
      <c r="M9" s="1"/>
      <c r="N9" s="1"/>
      <c r="O9" s="1"/>
      <c r="P9" s="1"/>
      <c r="Q9" s="1"/>
      <c r="R9" s="1"/>
      <c r="S9" s="1"/>
      <c r="T9" s="1"/>
      <c r="U9" s="1"/>
      <c r="V9" s="1"/>
      <c r="W9" s="1"/>
      <c r="X9" s="1"/>
      <c r="Y9" s="1"/>
      <c r="Z9" s="1"/>
      <c r="AA9" s="1"/>
    </row>
    <row r="10" spans="1:27" ht="17.100000000000001" customHeight="1" x14ac:dyDescent="0.2">
      <c r="A10" s="10">
        <v>5</v>
      </c>
      <c r="B10" s="103">
        <v>3111</v>
      </c>
      <c r="C10" s="1"/>
      <c r="D10" s="1"/>
      <c r="E10" s="1"/>
      <c r="F10" s="1"/>
      <c r="G10" s="1"/>
      <c r="H10" s="1"/>
      <c r="I10" s="1"/>
      <c r="J10" s="1"/>
      <c r="K10" s="1"/>
      <c r="L10" s="1"/>
      <c r="M10" s="1"/>
      <c r="N10" s="1"/>
      <c r="O10" s="1"/>
      <c r="P10" s="1"/>
      <c r="Q10" s="1"/>
      <c r="R10" s="1"/>
      <c r="S10" s="1"/>
      <c r="T10" s="1"/>
      <c r="U10" s="1"/>
      <c r="V10" s="1"/>
      <c r="W10" s="1"/>
      <c r="X10" s="1"/>
      <c r="Y10" s="1"/>
      <c r="Z10" s="1"/>
      <c r="AA10" s="1"/>
    </row>
    <row r="11" spans="1:27" ht="17.100000000000001" customHeight="1" x14ac:dyDescent="0.2">
      <c r="A11" s="10">
        <v>6</v>
      </c>
      <c r="B11" s="103">
        <v>1383</v>
      </c>
      <c r="C11" s="1"/>
      <c r="D11" s="1"/>
      <c r="E11" s="1"/>
      <c r="F11" s="1"/>
      <c r="G11" s="1"/>
      <c r="H11" s="1"/>
      <c r="I11" s="1"/>
      <c r="J11" s="1"/>
      <c r="K11" s="1"/>
      <c r="L11" s="1"/>
      <c r="M11" s="1"/>
      <c r="N11" s="1"/>
      <c r="O11" s="1"/>
      <c r="P11" s="1"/>
      <c r="Q11" s="1"/>
      <c r="R11" s="1"/>
      <c r="S11" s="1"/>
      <c r="T11" s="1"/>
      <c r="U11" s="1"/>
      <c r="V11" s="1"/>
      <c r="W11" s="1"/>
      <c r="X11" s="1"/>
      <c r="Y11" s="1"/>
      <c r="Z11" s="1"/>
      <c r="AA11" s="1"/>
    </row>
    <row r="12" spans="1:27" ht="17.100000000000001" customHeight="1" x14ac:dyDescent="0.2">
      <c r="A12" s="10">
        <v>7</v>
      </c>
      <c r="B12" s="103">
        <v>11133</v>
      </c>
      <c r="C12" s="1"/>
      <c r="D12" s="1"/>
      <c r="E12" s="1"/>
      <c r="F12" s="1"/>
      <c r="G12" s="1"/>
      <c r="H12" s="1"/>
      <c r="I12" s="1"/>
      <c r="J12" s="1"/>
      <c r="K12" s="1"/>
      <c r="L12" s="1"/>
      <c r="M12" s="1"/>
      <c r="N12" s="1"/>
      <c r="O12" s="1"/>
      <c r="P12" s="1"/>
      <c r="Q12" s="1"/>
      <c r="R12" s="1"/>
      <c r="S12" s="1"/>
      <c r="T12" s="1"/>
      <c r="U12" s="1"/>
      <c r="V12" s="1"/>
      <c r="W12" s="1"/>
      <c r="X12" s="1"/>
      <c r="Y12" s="1"/>
      <c r="Z12" s="1"/>
      <c r="AA12" s="1"/>
    </row>
    <row r="13" spans="1:27" ht="17.100000000000001" customHeight="1" x14ac:dyDescent="0.2">
      <c r="A13" s="10">
        <v>8</v>
      </c>
      <c r="B13" s="103">
        <v>2721</v>
      </c>
      <c r="C13" s="1"/>
      <c r="D13" s="1"/>
      <c r="E13" s="1"/>
      <c r="F13" s="1"/>
      <c r="G13" s="1"/>
      <c r="H13" s="1"/>
      <c r="I13" s="1"/>
      <c r="J13" s="1"/>
      <c r="K13" s="1"/>
      <c r="L13" s="1"/>
      <c r="M13" s="1"/>
      <c r="N13" s="1"/>
      <c r="O13" s="1"/>
      <c r="P13" s="1"/>
      <c r="Q13" s="1"/>
      <c r="R13" s="1"/>
      <c r="S13" s="1"/>
      <c r="T13" s="1"/>
      <c r="U13" s="1"/>
      <c r="V13" s="1"/>
      <c r="W13" s="1"/>
      <c r="X13" s="1"/>
      <c r="Y13" s="1"/>
      <c r="Z13" s="1"/>
      <c r="AA13" s="1"/>
    </row>
    <row r="14" spans="1:27" ht="17.100000000000001" customHeight="1" x14ac:dyDescent="0.2">
      <c r="A14" s="10">
        <v>9</v>
      </c>
      <c r="B14" s="103">
        <v>62687</v>
      </c>
      <c r="C14" s="1"/>
      <c r="D14" s="1"/>
      <c r="E14" s="1"/>
      <c r="F14" s="1"/>
      <c r="G14" s="1"/>
      <c r="H14" s="1"/>
      <c r="I14" s="1"/>
      <c r="J14" s="1"/>
      <c r="K14" s="1"/>
      <c r="L14" s="1"/>
      <c r="M14" s="1"/>
      <c r="N14" s="1"/>
      <c r="O14" s="1"/>
      <c r="P14" s="1"/>
      <c r="Q14" s="1"/>
      <c r="R14" s="1"/>
      <c r="S14" s="1"/>
      <c r="T14" s="1"/>
      <c r="U14" s="1"/>
      <c r="V14" s="1"/>
      <c r="W14" s="1"/>
      <c r="X14" s="1"/>
      <c r="Y14" s="1"/>
      <c r="Z14" s="1"/>
      <c r="AA14" s="1"/>
    </row>
    <row r="15" spans="1:27" ht="17.100000000000001" customHeight="1" x14ac:dyDescent="0.2">
      <c r="A15" s="10">
        <v>10</v>
      </c>
      <c r="B15" s="103">
        <v>16363</v>
      </c>
      <c r="C15" s="1"/>
      <c r="D15" s="1"/>
      <c r="E15" s="1"/>
      <c r="F15" s="1"/>
      <c r="G15" s="1"/>
      <c r="H15" s="1"/>
      <c r="I15" s="1"/>
      <c r="J15" s="1"/>
      <c r="K15" s="1"/>
      <c r="L15" s="1"/>
      <c r="M15" s="1"/>
      <c r="N15" s="1"/>
      <c r="O15" s="1"/>
      <c r="P15" s="1"/>
      <c r="Q15" s="1"/>
      <c r="R15" s="1"/>
      <c r="S15" s="1"/>
      <c r="T15" s="1"/>
      <c r="U15" s="1"/>
      <c r="V15" s="1"/>
      <c r="W15" s="1"/>
      <c r="X15" s="1"/>
      <c r="Y15" s="1"/>
      <c r="Z15" s="1"/>
      <c r="AA15" s="1"/>
    </row>
    <row r="16" spans="1:27" ht="17.100000000000001" customHeight="1" x14ac:dyDescent="0.2">
      <c r="A16" s="10">
        <v>11</v>
      </c>
      <c r="B16" s="103">
        <v>121756</v>
      </c>
      <c r="C16" s="1"/>
      <c r="D16" s="1"/>
      <c r="E16" s="1"/>
      <c r="F16" s="1"/>
      <c r="G16" s="1"/>
      <c r="H16" s="1"/>
      <c r="I16" s="1"/>
      <c r="J16" s="1"/>
      <c r="K16" s="1"/>
      <c r="L16" s="1"/>
      <c r="M16" s="1"/>
      <c r="N16" s="1"/>
      <c r="O16" s="1"/>
      <c r="P16" s="1"/>
      <c r="Q16" s="1"/>
      <c r="R16" s="1"/>
      <c r="S16" s="1"/>
      <c r="T16" s="1"/>
      <c r="U16" s="1"/>
      <c r="V16" s="1"/>
      <c r="W16" s="1"/>
      <c r="X16" s="1"/>
      <c r="Y16" s="1"/>
      <c r="Z16" s="1"/>
      <c r="AA16" s="1"/>
    </row>
    <row r="17" spans="1:27" ht="17.100000000000001" customHeight="1" x14ac:dyDescent="0.2">
      <c r="A17" s="10">
        <v>12</v>
      </c>
      <c r="B17" s="103">
        <v>32372</v>
      </c>
      <c r="C17" s="1"/>
      <c r="D17" s="1"/>
      <c r="E17" s="1"/>
      <c r="F17" s="1"/>
      <c r="G17" s="1"/>
      <c r="H17" s="1"/>
      <c r="I17" s="1"/>
      <c r="J17" s="1"/>
      <c r="K17" s="1"/>
      <c r="L17" s="1"/>
      <c r="M17" s="1"/>
      <c r="N17" s="1"/>
      <c r="O17" s="1"/>
      <c r="P17" s="1"/>
      <c r="Q17" s="1"/>
      <c r="R17" s="1"/>
      <c r="S17" s="1"/>
      <c r="T17" s="1"/>
      <c r="U17" s="1"/>
      <c r="V17" s="1"/>
      <c r="W17" s="1"/>
      <c r="X17" s="1"/>
      <c r="Y17" s="1"/>
      <c r="Z17" s="1"/>
      <c r="AA17" s="1"/>
    </row>
    <row r="18" spans="1:27" ht="17.100000000000001" customHeight="1" x14ac:dyDescent="0.2">
      <c r="A18" s="10">
        <v>13</v>
      </c>
      <c r="B18" s="102">
        <v>549295</v>
      </c>
      <c r="C18" s="1"/>
      <c r="D18" s="1"/>
      <c r="E18" s="1"/>
      <c r="F18" s="1"/>
      <c r="G18" s="1"/>
      <c r="H18" s="1"/>
      <c r="I18" s="1"/>
      <c r="J18" s="1"/>
      <c r="K18" s="1"/>
      <c r="L18" s="1"/>
      <c r="M18" s="1"/>
      <c r="N18" s="1"/>
      <c r="O18" s="1"/>
      <c r="P18" s="1"/>
      <c r="Q18" s="1"/>
      <c r="R18" s="1"/>
      <c r="S18" s="1"/>
      <c r="T18" s="1"/>
      <c r="U18" s="1"/>
      <c r="V18" s="1"/>
      <c r="W18" s="1"/>
      <c r="X18" s="1"/>
      <c r="Y18" s="1"/>
      <c r="Z18" s="1"/>
      <c r="AA18" s="1"/>
    </row>
    <row r="19" spans="1:27" ht="17.100000000000001" customHeight="1" thickBot="1" x14ac:dyDescent="0.25">
      <c r="A19" s="8" t="s">
        <v>35</v>
      </c>
      <c r="B19" s="131">
        <f>SUM(B5:B18)</f>
        <v>813686</v>
      </c>
      <c r="C19" s="1"/>
      <c r="D19" s="1"/>
      <c r="E19" s="1"/>
      <c r="F19" s="1"/>
      <c r="G19" s="1"/>
      <c r="H19" s="1"/>
      <c r="I19" s="1"/>
      <c r="J19" s="1"/>
      <c r="K19" s="1"/>
      <c r="L19" s="1"/>
      <c r="M19" s="1"/>
      <c r="N19" s="1"/>
      <c r="O19" s="1"/>
      <c r="P19" s="1"/>
      <c r="Q19" s="1"/>
      <c r="R19" s="1"/>
      <c r="S19" s="1"/>
      <c r="T19" s="1"/>
      <c r="U19" s="1"/>
      <c r="V19" s="1"/>
      <c r="W19" s="1"/>
      <c r="X19" s="1"/>
      <c r="Y19" s="1"/>
      <c r="Z19" s="1"/>
      <c r="AA19" s="1"/>
    </row>
    <row r="20" spans="1:27" ht="17.100000000000001" customHeight="1" x14ac:dyDescent="0.2">
      <c r="A20" s="1"/>
      <c r="B20" s="12"/>
      <c r="C20" s="1"/>
      <c r="D20" s="1"/>
      <c r="E20" s="1"/>
      <c r="F20" s="1"/>
      <c r="G20" s="1"/>
      <c r="H20" s="1"/>
      <c r="I20" s="1"/>
      <c r="J20" s="1"/>
      <c r="K20" s="1"/>
      <c r="L20" s="1"/>
      <c r="M20" s="1"/>
      <c r="N20" s="1"/>
      <c r="O20" s="1"/>
      <c r="P20" s="1"/>
      <c r="Q20" s="1"/>
      <c r="R20" s="1"/>
      <c r="S20" s="1"/>
      <c r="T20" s="1"/>
      <c r="U20" s="1"/>
      <c r="V20" s="1"/>
      <c r="W20" s="1"/>
      <c r="X20" s="1"/>
      <c r="Y20" s="1"/>
      <c r="Z20" s="1"/>
      <c r="AA20" s="1"/>
    </row>
    <row r="21" spans="1:27" ht="18.9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8.9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8.9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8.9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8.9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8.9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8.9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8.9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8.9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8.9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8.9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8.9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8.9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8.9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6" spans="1:27" x14ac:dyDescent="0.2">
      <c r="G36" s="1"/>
    </row>
    <row r="47" spans="1:27" x14ac:dyDescent="0.2">
      <c r="I47" s="1"/>
    </row>
  </sheetData>
  <mergeCells count="1">
    <mergeCell ref="A2:E2"/>
  </mergeCells>
  <printOptions horizontalCentered="1"/>
  <pageMargins left="0.70866141732283472" right="0.70866141732283472" top="0.74803149606299213" bottom="0.74803149606299213" header="0.31496062992125984" footer="0.31496062992125984"/>
  <pageSetup paperSize="9" orientation="portrait"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D9587-2A79-4EBF-9F09-419667FE6AC2}">
  <sheetPr>
    <pageSetUpPr fitToPage="1"/>
  </sheetPr>
  <dimension ref="A1:AC47"/>
  <sheetViews>
    <sheetView showGridLines="0" zoomScaleNormal="100" workbookViewId="0"/>
  </sheetViews>
  <sheetFormatPr defaultColWidth="9.140625" defaultRowHeight="12" x14ac:dyDescent="0.2"/>
  <cols>
    <col min="1" max="1" width="20.7109375" style="3" customWidth="1"/>
    <col min="2" max="12" width="9.140625" style="3" customWidth="1"/>
    <col min="13" max="16384" width="9.140625" style="3"/>
  </cols>
  <sheetData>
    <row r="1" spans="1:29" ht="7.5" customHeight="1" x14ac:dyDescent="0.2">
      <c r="A1" s="2"/>
      <c r="B1" s="2"/>
      <c r="C1" s="1"/>
      <c r="D1" s="1"/>
      <c r="E1" s="1"/>
      <c r="F1" s="1"/>
      <c r="G1" s="1"/>
      <c r="H1" s="1"/>
      <c r="I1" s="1"/>
      <c r="J1" s="1"/>
      <c r="K1" s="1"/>
      <c r="L1" s="1"/>
      <c r="M1" s="1"/>
      <c r="N1" s="1"/>
      <c r="O1" s="1"/>
      <c r="P1" s="1"/>
      <c r="Q1" s="1"/>
      <c r="R1" s="1"/>
      <c r="S1" s="1"/>
      <c r="T1" s="1"/>
      <c r="U1" s="1"/>
      <c r="V1" s="1"/>
      <c r="W1" s="1"/>
      <c r="X1" s="1"/>
      <c r="Y1" s="1"/>
      <c r="Z1" s="1"/>
      <c r="AA1" s="1"/>
      <c r="AB1" s="1"/>
      <c r="AC1" s="1"/>
    </row>
    <row r="2" spans="1:29" ht="29.25" customHeight="1" x14ac:dyDescent="0.2">
      <c r="A2" s="307" t="s">
        <v>229</v>
      </c>
      <c r="B2" s="307"/>
      <c r="C2" s="307"/>
      <c r="D2" s="307"/>
      <c r="E2" s="307"/>
      <c r="F2" s="307"/>
      <c r="G2" s="307"/>
      <c r="H2" s="1"/>
      <c r="I2" s="1"/>
      <c r="J2" s="1"/>
      <c r="K2" s="1"/>
      <c r="L2" s="1"/>
      <c r="M2" s="1"/>
      <c r="N2" s="1"/>
      <c r="O2" s="1"/>
      <c r="P2" s="1"/>
      <c r="Q2" s="1"/>
      <c r="R2" s="1"/>
      <c r="S2" s="1"/>
      <c r="T2" s="1"/>
      <c r="U2" s="1"/>
      <c r="V2" s="1"/>
      <c r="W2" s="1"/>
      <c r="X2" s="1"/>
      <c r="Y2" s="1"/>
      <c r="Z2" s="1"/>
      <c r="AA2" s="1"/>
      <c r="AB2" s="1"/>
      <c r="AC2" s="1"/>
    </row>
    <row r="3" spans="1:29" ht="18.95" customHeight="1" x14ac:dyDescent="0.2">
      <c r="A3" s="2"/>
      <c r="B3" s="2"/>
      <c r="C3" s="1"/>
      <c r="D3" s="1"/>
      <c r="E3" s="1"/>
      <c r="F3" s="1"/>
      <c r="G3" s="1"/>
      <c r="H3" s="1"/>
      <c r="I3" s="1"/>
      <c r="J3" s="1"/>
      <c r="K3" s="1"/>
      <c r="L3" s="1"/>
      <c r="M3" s="1"/>
      <c r="N3" s="1"/>
      <c r="O3" s="1"/>
      <c r="P3" s="1"/>
      <c r="Q3" s="1"/>
      <c r="R3" s="1"/>
      <c r="S3" s="1"/>
      <c r="T3" s="1"/>
      <c r="U3" s="1"/>
      <c r="V3" s="1"/>
      <c r="W3" s="1"/>
      <c r="X3" s="1"/>
      <c r="Y3" s="1"/>
      <c r="Z3" s="1"/>
      <c r="AA3" s="1"/>
      <c r="AB3" s="1"/>
      <c r="AC3" s="1"/>
    </row>
    <row r="4" spans="1:29" ht="18.95" customHeight="1" thickBo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21.75" customHeight="1" thickBot="1" x14ac:dyDescent="0.25">
      <c r="A5" s="4" t="s">
        <v>126</v>
      </c>
      <c r="B5" s="5">
        <v>2016</v>
      </c>
      <c r="C5" s="5">
        <v>2017</v>
      </c>
      <c r="D5" s="5">
        <v>2018</v>
      </c>
      <c r="E5" s="5">
        <v>2019</v>
      </c>
      <c r="F5" s="5">
        <v>2020</v>
      </c>
      <c r="G5" s="5">
        <v>2021</v>
      </c>
      <c r="H5" s="5">
        <v>2022</v>
      </c>
      <c r="I5" s="5">
        <v>2023</v>
      </c>
      <c r="J5" s="5">
        <v>2024</v>
      </c>
      <c r="K5" s="5" t="s">
        <v>180</v>
      </c>
      <c r="L5" s="6" t="s">
        <v>35</v>
      </c>
      <c r="M5" s="1"/>
      <c r="N5" s="1"/>
      <c r="O5" s="1"/>
      <c r="P5" s="1"/>
      <c r="Q5" s="1"/>
      <c r="R5" s="1"/>
      <c r="S5" s="1"/>
      <c r="T5" s="1"/>
      <c r="U5" s="1"/>
      <c r="V5" s="1"/>
      <c r="W5" s="1"/>
      <c r="X5" s="1"/>
      <c r="Y5" s="1"/>
      <c r="Z5" s="1"/>
      <c r="AA5" s="1"/>
      <c r="AB5" s="1"/>
      <c r="AC5" s="1"/>
    </row>
    <row r="6" spans="1:29" ht="21.75" customHeight="1" thickTop="1" thickBot="1" x14ac:dyDescent="0.25">
      <c r="A6" s="7" t="s">
        <v>127</v>
      </c>
      <c r="B6" s="200">
        <v>16</v>
      </c>
      <c r="C6" s="201">
        <v>64</v>
      </c>
      <c r="D6" s="201">
        <v>182</v>
      </c>
      <c r="E6" s="201">
        <v>668</v>
      </c>
      <c r="F6" s="201">
        <v>443</v>
      </c>
      <c r="G6" s="201">
        <v>439</v>
      </c>
      <c r="H6" s="201">
        <v>598</v>
      </c>
      <c r="I6" s="201">
        <v>577</v>
      </c>
      <c r="J6" s="201">
        <v>438</v>
      </c>
      <c r="K6" s="201">
        <v>311</v>
      </c>
      <c r="L6" s="131">
        <f>SUM(B6:K6)</f>
        <v>3736</v>
      </c>
      <c r="M6" s="1"/>
      <c r="N6" s="1"/>
      <c r="O6" s="1"/>
      <c r="P6" s="1"/>
      <c r="Q6" s="1"/>
      <c r="R6" s="1"/>
      <c r="S6" s="1"/>
      <c r="T6" s="1"/>
      <c r="U6" s="1"/>
      <c r="V6" s="1"/>
      <c r="W6" s="1"/>
      <c r="X6" s="1"/>
      <c r="Y6" s="1"/>
      <c r="Z6" s="1"/>
      <c r="AA6" s="1"/>
      <c r="AB6" s="1"/>
      <c r="AC6" s="1"/>
    </row>
    <row r="7" spans="1:29" ht="19.5" customHeight="1" x14ac:dyDescent="0.2">
      <c r="A7" s="27" t="s">
        <v>209</v>
      </c>
      <c r="B7" s="1"/>
      <c r="C7" s="1"/>
      <c r="D7" s="1"/>
      <c r="E7" s="1"/>
      <c r="F7" s="1"/>
      <c r="G7" s="1"/>
      <c r="H7" s="1"/>
      <c r="I7" s="1"/>
      <c r="J7" s="1"/>
      <c r="K7" s="1"/>
      <c r="L7" s="1"/>
      <c r="M7" s="1"/>
      <c r="N7" s="1"/>
      <c r="O7" s="1"/>
      <c r="P7" s="1"/>
      <c r="Q7" s="1"/>
      <c r="R7" s="1"/>
      <c r="S7" s="1"/>
      <c r="T7" s="1"/>
      <c r="U7" s="1"/>
      <c r="V7" s="1"/>
      <c r="W7" s="1"/>
      <c r="X7" s="1"/>
      <c r="Y7" s="1"/>
      <c r="Z7" s="1"/>
      <c r="AA7" s="1"/>
      <c r="AB7" s="1"/>
      <c r="AC7" s="1"/>
    </row>
    <row r="8" spans="1:29" ht="18.95" customHeight="1"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row>
    <row r="9" spans="1:29" ht="18.95" customHeight="1"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row>
    <row r="10" spans="1:29" ht="18.9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spans="1:29" ht="18.9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spans="1:29" ht="18.9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ht="18.9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ht="18.9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spans="1:29" ht="18.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ht="18.9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spans="1:29" ht="18.9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spans="1:29" ht="18.9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ht="18.9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36" spans="7:11" x14ac:dyDescent="0.2">
      <c r="G36" s="1"/>
    </row>
    <row r="44" spans="7:11" x14ac:dyDescent="0.2">
      <c r="G44" s="1"/>
    </row>
    <row r="47" spans="7:11" x14ac:dyDescent="0.2">
      <c r="I47" s="1"/>
      <c r="J47" s="1"/>
      <c r="K47" s="1"/>
    </row>
  </sheetData>
  <mergeCells count="1">
    <mergeCell ref="A2:G2"/>
  </mergeCells>
  <printOptions horizontalCentered="1"/>
  <pageMargins left="0.23622047244094491" right="0.23622047244094491" top="0.74803149606299213" bottom="0.74803149606299213" header="0.31496062992125984" footer="0.31496062992125984"/>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25</vt:i4>
      </vt:variant>
    </vt:vector>
  </HeadingPairs>
  <TitlesOfParts>
    <vt:vector size="25" baseType="lpstr">
      <vt:lpstr> Índice</vt:lpstr>
      <vt:lpstr>Siglas</vt:lpstr>
      <vt:lpstr>1</vt:lpstr>
      <vt:lpstr>2</vt:lpstr>
      <vt:lpstr>3</vt:lpstr>
      <vt:lpstr>4 e 5</vt:lpstr>
      <vt:lpstr>6</vt:lpstr>
      <vt:lpstr>7</vt:lpstr>
      <vt:lpstr>8</vt:lpstr>
      <vt:lpstr>9 e 10</vt:lpstr>
      <vt:lpstr>11 e 12</vt:lpstr>
      <vt:lpstr>13 e 14</vt:lpstr>
      <vt:lpstr>15</vt:lpstr>
      <vt:lpstr>16 e 17</vt:lpstr>
      <vt:lpstr>18</vt:lpstr>
      <vt:lpstr>19 e 20</vt:lpstr>
      <vt:lpstr>21</vt:lpstr>
      <vt:lpstr>22</vt:lpstr>
      <vt:lpstr>23</vt:lpstr>
      <vt:lpstr>24</vt:lpstr>
      <vt:lpstr>25</vt:lpstr>
      <vt:lpstr>26</vt:lpstr>
      <vt:lpstr>27</vt:lpstr>
      <vt:lpstr>28</vt:lpstr>
      <vt:lpstr>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Lisete Pinto Fernandes</dc:creator>
  <cp:lastModifiedBy>Jorge Rebelo</cp:lastModifiedBy>
  <cp:lastPrinted>2023-11-07T10:26:09Z</cp:lastPrinted>
  <dcterms:created xsi:type="dcterms:W3CDTF">2023-02-10T10:46:51Z</dcterms:created>
  <dcterms:modified xsi:type="dcterms:W3CDTF">2026-01-13T11:16:30Z</dcterms:modified>
</cp:coreProperties>
</file>