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EstaPastaDeTrabalho"/>
  <xr:revisionPtr revIDLastSave="0" documentId="13_ncr:1_{F5B008AE-B604-4CAB-92E5-F2647F065C5B}" xr6:coauthVersionLast="47" xr6:coauthVersionMax="47" xr10:uidLastSave="{00000000-0000-0000-0000-000000000000}"/>
  <bookViews>
    <workbookView xWindow="-108" yWindow="492" windowWidth="30936" windowHeight="16896" tabRatio="891" xr2:uid="{00000000-000D-0000-FFFF-FFFF00000000}"/>
  </bookViews>
  <sheets>
    <sheet name="Índice" sheetId="324" r:id="rId1"/>
    <sheet name="Siglas" sheetId="252" r:id="rId2"/>
    <sheet name="1.1" sheetId="227" r:id="rId3"/>
    <sheet name="1.2" sheetId="253" r:id="rId4"/>
    <sheet name="1.3" sheetId="259" r:id="rId5"/>
    <sheet name="1.4" sheetId="264" r:id="rId6"/>
    <sheet name="1.5" sheetId="265" r:id="rId7"/>
    <sheet name="1.6" sheetId="260" r:id="rId8"/>
    <sheet name="1.7" sheetId="262" r:id="rId9"/>
    <sheet name="1.8" sheetId="266" r:id="rId10"/>
    <sheet name="1.9" sheetId="267" r:id="rId11"/>
    <sheet name="1.10" sheetId="268" r:id="rId12"/>
    <sheet name="2.1" sheetId="269" r:id="rId13"/>
    <sheet name="2.2" sheetId="270" r:id="rId14"/>
    <sheet name="2.3" sheetId="326" r:id="rId15"/>
    <sheet name="3.1" sheetId="271" r:id="rId16"/>
    <sheet name="3.2" sheetId="272" r:id="rId17"/>
    <sheet name="3.3" sheetId="274" r:id="rId18"/>
    <sheet name="3.4" sheetId="275" r:id="rId19"/>
    <sheet name="3.5" sheetId="276" r:id="rId20"/>
    <sheet name="4.1" sheetId="277" r:id="rId21"/>
    <sheet name="4.2" sheetId="278" r:id="rId22"/>
    <sheet name="4.3" sheetId="283" r:id="rId23"/>
    <sheet name="4.4" sheetId="293" r:id="rId24"/>
    <sheet name="4.5" sheetId="284" r:id="rId25"/>
    <sheet name="4.6" sheetId="285" r:id="rId26"/>
    <sheet name="4.7" sheetId="286" r:id="rId27"/>
    <sheet name="4.8" sheetId="287" r:id="rId28"/>
    <sheet name="4.9" sheetId="288" r:id="rId29"/>
    <sheet name="4.10" sheetId="289" r:id="rId30"/>
    <sheet name="4.11" sheetId="291" r:id="rId31"/>
    <sheet name="4.12" sheetId="290" r:id="rId32"/>
    <sheet name="4.13" sheetId="292" r:id="rId33"/>
    <sheet name="5.1" sheetId="279" r:id="rId34"/>
    <sheet name="5.2" sheetId="280" r:id="rId35"/>
    <sheet name="5.3" sheetId="294" r:id="rId36"/>
    <sheet name="5.4" sheetId="295" r:id="rId37"/>
    <sheet name="5.5" sheetId="296" r:id="rId38"/>
    <sheet name="5.6" sheetId="297" r:id="rId39"/>
    <sheet name="5.7" sheetId="298" r:id="rId40"/>
    <sheet name="5.8" sheetId="299" r:id="rId41"/>
    <sheet name="5.9" sheetId="300" r:id="rId42"/>
    <sheet name="5.10" sheetId="301" r:id="rId43"/>
    <sheet name="5.11" sheetId="302" r:id="rId44"/>
    <sheet name="5.12" sheetId="303" r:id="rId45"/>
    <sheet name="5.13" sheetId="304" r:id="rId46"/>
    <sheet name="5.14" sheetId="305" r:id="rId47"/>
    <sheet name="6.1" sheetId="281" r:id="rId48"/>
    <sheet name="6.2" sheetId="282" r:id="rId49"/>
    <sheet name="6.3" sheetId="306" r:id="rId50"/>
    <sheet name="6.4" sheetId="307" r:id="rId51"/>
    <sheet name="6.5" sheetId="308" r:id="rId52"/>
    <sheet name="6.6" sheetId="310" r:id="rId53"/>
    <sheet name="6.7" sheetId="311" r:id="rId54"/>
    <sheet name="6.8" sheetId="312" r:id="rId55"/>
    <sheet name="6.9" sheetId="313" r:id="rId56"/>
    <sheet name="6.10" sheetId="314" r:id="rId57"/>
    <sheet name="6.11" sheetId="315" r:id="rId58"/>
    <sheet name="6.12" sheetId="316" r:id="rId59"/>
    <sheet name="6.13" sheetId="317" r:id="rId60"/>
    <sheet name="6.14" sheetId="319" r:id="rId61"/>
    <sheet name="6.15" sheetId="320" r:id="rId62"/>
    <sheet name="6.16" sheetId="321" r:id="rId63"/>
    <sheet name="6.17" sheetId="322" r:id="rId64"/>
  </sheets>
  <definedNames>
    <definedName name="_xlnm.Print_Area" localSheetId="2">'1.1'!$A$1:$Q$17</definedName>
    <definedName name="_xlnm.Print_Area" localSheetId="19">'3.5'!$A$1:$D$22</definedName>
    <definedName name="_xlnm.Print_Area" localSheetId="31">'4.12'!$A$1:$Q$7</definedName>
    <definedName name="_xlnm.Print_Area" localSheetId="21">'4.2'!$A$1:$E$9</definedName>
    <definedName name="_xlnm.Print_Area" localSheetId="34">'5.2'!$A$1:$E$9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288" l="1"/>
  <c r="P13" i="288"/>
  <c r="I11" i="297"/>
  <c r="E10" i="297"/>
  <c r="E14" i="291"/>
  <c r="Q8" i="311"/>
  <c r="M8" i="311"/>
  <c r="F13" i="269"/>
  <c r="F38" i="326"/>
  <c r="F37" i="326"/>
  <c r="E5" i="322" l="1"/>
  <c r="E7" i="320"/>
  <c r="Q19" i="303"/>
  <c r="P19" i="303"/>
  <c r="O19" i="303"/>
  <c r="N19" i="303"/>
  <c r="M19" i="303"/>
  <c r="I19" i="303"/>
  <c r="E19" i="303"/>
  <c r="E23" i="302"/>
  <c r="E7" i="297"/>
  <c r="Q19" i="275" l="1"/>
  <c r="P19" i="275"/>
  <c r="O19" i="275"/>
  <c r="N19" i="275"/>
  <c r="M19" i="275"/>
  <c r="I19" i="275"/>
  <c r="E19" i="275"/>
  <c r="E6" i="279" l="1"/>
  <c r="P19" i="322"/>
  <c r="Q19" i="322" s="1"/>
  <c r="O19" i="322"/>
  <c r="N19" i="322"/>
  <c r="M19" i="322"/>
  <c r="I19" i="322"/>
  <c r="E19" i="322"/>
  <c r="E10" i="319"/>
  <c r="E13" i="319"/>
  <c r="E14" i="319"/>
  <c r="E15" i="319"/>
  <c r="E16" i="319"/>
  <c r="E17" i="319"/>
  <c r="E19" i="319"/>
  <c r="E21" i="319"/>
  <c r="E22" i="319"/>
  <c r="E23" i="319"/>
  <c r="I7" i="311"/>
  <c r="I9" i="310"/>
  <c r="E8" i="310"/>
  <c r="D19" i="276"/>
  <c r="C20" i="276"/>
  <c r="B20" i="276"/>
  <c r="P19" i="292"/>
  <c r="Q19" i="292" s="1"/>
  <c r="O19" i="292"/>
  <c r="N19" i="292"/>
  <c r="M19" i="292"/>
  <c r="I19" i="292"/>
  <c r="E19" i="292"/>
  <c r="I17" i="291"/>
  <c r="E8" i="289"/>
  <c r="E16" i="289"/>
  <c r="Q9" i="285"/>
  <c r="M9" i="285"/>
  <c r="E8" i="265"/>
  <c r="Q8" i="265"/>
  <c r="E6" i="265"/>
  <c r="M9" i="264"/>
  <c r="M11" i="264"/>
  <c r="I8" i="264"/>
  <c r="A30" i="324" l="1"/>
  <c r="A32" i="324"/>
  <c r="A31" i="324"/>
  <c r="I11" i="319"/>
  <c r="O5" i="274"/>
  <c r="P5" i="274"/>
  <c r="O7" i="274"/>
  <c r="P7" i="274"/>
  <c r="N5" i="274"/>
  <c r="N7" i="274"/>
  <c r="O5" i="272"/>
  <c r="P5" i="272"/>
  <c r="O6" i="272"/>
  <c r="P6" i="272"/>
  <c r="O7" i="272"/>
  <c r="P7" i="272"/>
  <c r="O8" i="272"/>
  <c r="P8" i="272"/>
  <c r="O9" i="272"/>
  <c r="P9" i="272"/>
  <c r="O10" i="272"/>
  <c r="P10" i="272"/>
  <c r="O11" i="272"/>
  <c r="P11" i="272"/>
  <c r="O12" i="272"/>
  <c r="P12" i="272"/>
  <c r="O13" i="272"/>
  <c r="P13" i="272"/>
  <c r="O14" i="272"/>
  <c r="P14" i="272"/>
  <c r="O15" i="272"/>
  <c r="P15" i="272"/>
  <c r="N6" i="272"/>
  <c r="N7" i="272"/>
  <c r="N8" i="272"/>
  <c r="N9" i="272"/>
  <c r="N10" i="272"/>
  <c r="N11" i="272"/>
  <c r="N12" i="272"/>
  <c r="N13" i="272"/>
  <c r="N14" i="272"/>
  <c r="N15" i="272"/>
  <c r="N5" i="272"/>
  <c r="P15" i="269"/>
  <c r="Q15" i="269"/>
  <c r="P16" i="269"/>
  <c r="Q16" i="269"/>
  <c r="P17" i="269"/>
  <c r="Q17" i="269"/>
  <c r="P18" i="269"/>
  <c r="Q18" i="269"/>
  <c r="P19" i="269"/>
  <c r="Q19" i="269"/>
  <c r="P20" i="269"/>
  <c r="Q20" i="269"/>
  <c r="P21" i="269"/>
  <c r="Q21" i="269"/>
  <c r="P22" i="269"/>
  <c r="Q22" i="269"/>
  <c r="O16" i="269"/>
  <c r="O17" i="269"/>
  <c r="O18" i="269"/>
  <c r="O19" i="269"/>
  <c r="O20" i="269"/>
  <c r="O21" i="269"/>
  <c r="O22" i="269"/>
  <c r="O15" i="269"/>
  <c r="P10" i="269"/>
  <c r="Q10" i="269"/>
  <c r="P11" i="269"/>
  <c r="Q11" i="269"/>
  <c r="P12" i="269"/>
  <c r="Q12" i="269"/>
  <c r="P13" i="269"/>
  <c r="Q13" i="269"/>
  <c r="O11" i="269"/>
  <c r="O12" i="269"/>
  <c r="O13" i="269"/>
  <c r="O10" i="269"/>
  <c r="P5" i="269"/>
  <c r="Q5" i="269"/>
  <c r="P6" i="269"/>
  <c r="Q6" i="269"/>
  <c r="P7" i="269"/>
  <c r="Q7" i="269"/>
  <c r="P8" i="269"/>
  <c r="Q8" i="269"/>
  <c r="O6" i="269"/>
  <c r="O7" i="269"/>
  <c r="O8" i="269"/>
  <c r="O5" i="269"/>
  <c r="B39" i="326"/>
  <c r="X5" i="270" l="1"/>
  <c r="Y5" i="270"/>
  <c r="X6" i="270"/>
  <c r="Y6" i="270"/>
  <c r="X7" i="270"/>
  <c r="Y7" i="270"/>
  <c r="X8" i="270"/>
  <c r="Y8" i="270"/>
  <c r="X9" i="270"/>
  <c r="Y9" i="270"/>
  <c r="X10" i="270"/>
  <c r="Y10" i="270"/>
  <c r="X11" i="270"/>
  <c r="Y11" i="270"/>
  <c r="X12" i="270"/>
  <c r="Y12" i="270"/>
  <c r="X13" i="270"/>
  <c r="Y13" i="270"/>
  <c r="X14" i="270"/>
  <c r="Y14" i="270"/>
  <c r="W6" i="270"/>
  <c r="W7" i="270"/>
  <c r="W8" i="270"/>
  <c r="W9" i="270"/>
  <c r="W10" i="270"/>
  <c r="W11" i="270"/>
  <c r="W12" i="270"/>
  <c r="W13" i="270"/>
  <c r="W14" i="270"/>
  <c r="W5" i="270"/>
  <c r="Q5" i="266"/>
  <c r="Q6" i="266"/>
  <c r="I18" i="319" l="1"/>
  <c r="I19" i="319"/>
  <c r="I8" i="316"/>
  <c r="I9" i="316"/>
  <c r="E10" i="310"/>
  <c r="E13" i="302"/>
  <c r="E9" i="301"/>
  <c r="E6" i="292"/>
  <c r="E13" i="289"/>
  <c r="E6" i="284"/>
  <c r="F36" i="326"/>
  <c r="M28" i="270"/>
  <c r="M29" i="270"/>
  <c r="M30" i="270"/>
  <c r="V27" i="270"/>
  <c r="R26" i="270"/>
  <c r="Q28" i="270"/>
  <c r="F20" i="269"/>
  <c r="O14" i="269"/>
  <c r="P14" i="269"/>
  <c r="Q14" i="269"/>
  <c r="J20" i="262"/>
  <c r="I9" i="264"/>
  <c r="O28" i="270"/>
  <c r="N28" i="270"/>
  <c r="E5" i="292" l="1"/>
  <c r="I18" i="275"/>
  <c r="I8" i="310"/>
  <c r="E6" i="289"/>
  <c r="E7" i="289"/>
  <c r="E9" i="289"/>
  <c r="E10" i="289"/>
  <c r="E11" i="289"/>
  <c r="E12" i="289"/>
  <c r="M11" i="288"/>
  <c r="I9" i="288"/>
  <c r="B17" i="326"/>
  <c r="C17" i="326"/>
  <c r="D17" i="326"/>
  <c r="E22" i="326" s="1"/>
  <c r="D28" i="326"/>
  <c r="C28" i="326"/>
  <c r="B28" i="326"/>
  <c r="F20" i="326"/>
  <c r="G20" i="326"/>
  <c r="F21" i="326"/>
  <c r="G21" i="326"/>
  <c r="F22" i="326"/>
  <c r="G22" i="326"/>
  <c r="F23" i="326"/>
  <c r="G23" i="326"/>
  <c r="F24" i="326"/>
  <c r="G24" i="326"/>
  <c r="F26" i="326"/>
  <c r="G26" i="326"/>
  <c r="G38" i="326"/>
  <c r="D6" i="326"/>
  <c r="C6" i="326"/>
  <c r="B6" i="326"/>
  <c r="D21" i="270"/>
  <c r="C21" i="270"/>
  <c r="B21" i="270"/>
  <c r="T28" i="270"/>
  <c r="U28" i="270"/>
  <c r="T29" i="270"/>
  <c r="U29" i="270"/>
  <c r="V29" i="270"/>
  <c r="S27" i="270"/>
  <c r="R28" i="270"/>
  <c r="S28" i="270"/>
  <c r="Q29" i="270"/>
  <c r="R29" i="270"/>
  <c r="S29" i="270"/>
  <c r="B15" i="270"/>
  <c r="C15" i="270"/>
  <c r="D15" i="270"/>
  <c r="E15" i="270"/>
  <c r="F15" i="270"/>
  <c r="G15" i="270"/>
  <c r="H15" i="270"/>
  <c r="I15" i="270"/>
  <c r="J15" i="270"/>
  <c r="K15" i="270"/>
  <c r="L15" i="270"/>
  <c r="M15" i="270"/>
  <c r="E5" i="227"/>
  <c r="I5" i="227"/>
  <c r="M5" i="227"/>
  <c r="Q5" i="227"/>
  <c r="E6" i="227"/>
  <c r="I6" i="227"/>
  <c r="M6" i="227"/>
  <c r="Q6" i="227"/>
  <c r="E7" i="227"/>
  <c r="I7" i="227"/>
  <c r="M7" i="227"/>
  <c r="Q7" i="227"/>
  <c r="E8" i="227"/>
  <c r="I8" i="227"/>
  <c r="M8" i="227"/>
  <c r="Q8" i="227"/>
  <c r="E9" i="227"/>
  <c r="I9" i="227"/>
  <c r="M9" i="227"/>
  <c r="Q9" i="227"/>
  <c r="E10" i="227"/>
  <c r="I10" i="227"/>
  <c r="M10" i="227"/>
  <c r="Q10" i="227"/>
  <c r="E11" i="227"/>
  <c r="I11" i="227"/>
  <c r="M11" i="227"/>
  <c r="Q11" i="227"/>
  <c r="E12" i="227"/>
  <c r="I12" i="227"/>
  <c r="M12" i="227"/>
  <c r="Q12" i="227"/>
  <c r="E13" i="227"/>
  <c r="I13" i="227"/>
  <c r="M13" i="227"/>
  <c r="Q13" i="227"/>
  <c r="E14" i="227"/>
  <c r="I14" i="227"/>
  <c r="M14" i="227"/>
  <c r="Q14" i="227"/>
  <c r="E15" i="227"/>
  <c r="I15" i="227"/>
  <c r="M15" i="227"/>
  <c r="Q15" i="227"/>
  <c r="E16" i="227"/>
  <c r="I16" i="227"/>
  <c r="M16" i="227"/>
  <c r="Q16" i="227"/>
  <c r="B17" i="227"/>
  <c r="D17" i="227"/>
  <c r="F17" i="227"/>
  <c r="G17" i="227"/>
  <c r="H17" i="227"/>
  <c r="J17" i="227"/>
  <c r="K17" i="227"/>
  <c r="L17" i="227"/>
  <c r="N17" i="227"/>
  <c r="O17" i="227"/>
  <c r="P17" i="227"/>
  <c r="E5" i="253"/>
  <c r="I17" i="319"/>
  <c r="E6" i="319"/>
  <c r="E7" i="317"/>
  <c r="E8" i="317"/>
  <c r="E9" i="317"/>
  <c r="E10" i="317"/>
  <c r="E5" i="317"/>
  <c r="E11" i="315"/>
  <c r="E12" i="315"/>
  <c r="E13" i="315"/>
  <c r="E14" i="315"/>
  <c r="E15" i="315"/>
  <c r="E16" i="315"/>
  <c r="E17" i="315"/>
  <c r="E18" i="315"/>
  <c r="E19" i="315"/>
  <c r="E20" i="315"/>
  <c r="E21" i="315"/>
  <c r="E22" i="315"/>
  <c r="I5" i="312"/>
  <c r="I17" i="303"/>
  <c r="E16" i="303"/>
  <c r="E17" i="303"/>
  <c r="I11" i="302"/>
  <c r="I12" i="302"/>
  <c r="I13" i="302"/>
  <c r="I14" i="302"/>
  <c r="I15" i="302"/>
  <c r="I16" i="302"/>
  <c r="I17" i="302"/>
  <c r="I18" i="302"/>
  <c r="E10" i="302"/>
  <c r="E11" i="302"/>
  <c r="E12" i="302"/>
  <c r="E14" i="302"/>
  <c r="E15" i="302"/>
  <c r="E16" i="302"/>
  <c r="E17" i="302"/>
  <c r="E18" i="302"/>
  <c r="E19" i="302"/>
  <c r="E20" i="302"/>
  <c r="E21" i="302"/>
  <c r="E22" i="302"/>
  <c r="I5" i="299"/>
  <c r="E7" i="298"/>
  <c r="M12" i="297"/>
  <c r="E9" i="296"/>
  <c r="E11" i="294"/>
  <c r="E5" i="294"/>
  <c r="I14" i="292"/>
  <c r="I15" i="292"/>
  <c r="I16" i="292"/>
  <c r="E7" i="292"/>
  <c r="E8" i="292"/>
  <c r="E9" i="292"/>
  <c r="E11" i="292"/>
  <c r="E12" i="292"/>
  <c r="E13" i="292"/>
  <c r="E14" i="292"/>
  <c r="E15" i="292"/>
  <c r="E16" i="292"/>
  <c r="E9" i="291"/>
  <c r="E10" i="291"/>
  <c r="I8" i="289"/>
  <c r="I9" i="289"/>
  <c r="I10" i="289"/>
  <c r="I11" i="289"/>
  <c r="I12" i="289"/>
  <c r="I13" i="289"/>
  <c r="I14" i="289"/>
  <c r="I15" i="289"/>
  <c r="I16" i="289"/>
  <c r="I17" i="289"/>
  <c r="I18" i="289"/>
  <c r="I19" i="289"/>
  <c r="I20" i="289"/>
  <c r="I6" i="289"/>
  <c r="E17" i="289"/>
  <c r="E18" i="289"/>
  <c r="E19" i="289"/>
  <c r="E20" i="289"/>
  <c r="E21" i="289"/>
  <c r="E22" i="289"/>
  <c r="E23" i="289"/>
  <c r="E24" i="289"/>
  <c r="I10" i="288"/>
  <c r="I7" i="288"/>
  <c r="E12" i="288"/>
  <c r="E10" i="288"/>
  <c r="E6" i="288"/>
  <c r="E6" i="286"/>
  <c r="E10" i="293"/>
  <c r="V30" i="270"/>
  <c r="U30" i="270"/>
  <c r="T30" i="270"/>
  <c r="V26" i="270"/>
  <c r="U26" i="270"/>
  <c r="T26" i="270"/>
  <c r="V25" i="270"/>
  <c r="U25" i="270"/>
  <c r="T25" i="270"/>
  <c r="V24" i="270"/>
  <c r="U24" i="270"/>
  <c r="T24" i="270"/>
  <c r="V23" i="270"/>
  <c r="U23" i="270"/>
  <c r="T23" i="270"/>
  <c r="V22" i="270"/>
  <c r="U22" i="270"/>
  <c r="T22" i="270"/>
  <c r="V21" i="270"/>
  <c r="U21" i="270"/>
  <c r="T21" i="270"/>
  <c r="V15" i="270"/>
  <c r="U15" i="270"/>
  <c r="T15" i="270"/>
  <c r="D23" i="319"/>
  <c r="C23" i="319"/>
  <c r="B23" i="319"/>
  <c r="H23" i="319"/>
  <c r="G23" i="319"/>
  <c r="F23" i="319"/>
  <c r="L23" i="319"/>
  <c r="K23" i="319"/>
  <c r="J23" i="319"/>
  <c r="D39" i="326" l="1"/>
  <c r="G39" i="326" s="1"/>
  <c r="C39" i="326"/>
  <c r="M17" i="227"/>
  <c r="I17" i="227"/>
  <c r="E26" i="326"/>
  <c r="V31" i="270"/>
  <c r="E36" i="326"/>
  <c r="E37" i="326"/>
  <c r="E24" i="326"/>
  <c r="E21" i="326"/>
  <c r="E23" i="326"/>
  <c r="E38" i="326"/>
  <c r="E20" i="326"/>
  <c r="E25" i="326"/>
  <c r="T31" i="270"/>
  <c r="Q17" i="227"/>
  <c r="E17" i="227"/>
  <c r="U31" i="270"/>
  <c r="Y30" i="270"/>
  <c r="X30" i="270"/>
  <c r="W30" i="270"/>
  <c r="Y29" i="270"/>
  <c r="X29" i="270"/>
  <c r="W29" i="270"/>
  <c r="Y28" i="270"/>
  <c r="X28" i="270"/>
  <c r="W28" i="270"/>
  <c r="Y27" i="270"/>
  <c r="X27" i="270"/>
  <c r="W27" i="270"/>
  <c r="Y26" i="270"/>
  <c r="X26" i="270"/>
  <c r="W26" i="270"/>
  <c r="Y25" i="270"/>
  <c r="X25" i="270"/>
  <c r="W25" i="270"/>
  <c r="Y24" i="270"/>
  <c r="X24" i="270"/>
  <c r="W24" i="270"/>
  <c r="Y23" i="270"/>
  <c r="X23" i="270"/>
  <c r="W23" i="270"/>
  <c r="Y22" i="270"/>
  <c r="X22" i="270"/>
  <c r="W22" i="270"/>
  <c r="Y21" i="270"/>
  <c r="X21" i="270"/>
  <c r="W21" i="270"/>
  <c r="Y15" i="270"/>
  <c r="X15" i="270"/>
  <c r="W15" i="270"/>
  <c r="N15" i="270"/>
  <c r="O15" i="270"/>
  <c r="P15" i="270"/>
  <c r="Q15" i="270"/>
  <c r="R15" i="270"/>
  <c r="S15" i="270"/>
  <c r="G35" i="326"/>
  <c r="F35" i="326"/>
  <c r="E35" i="326"/>
  <c r="G34" i="326"/>
  <c r="F34" i="326"/>
  <c r="E34" i="326"/>
  <c r="G33" i="326"/>
  <c r="F33" i="326"/>
  <c r="E33" i="326"/>
  <c r="G32" i="326"/>
  <c r="F32" i="326"/>
  <c r="E32" i="326"/>
  <c r="G31" i="326"/>
  <c r="F31" i="326"/>
  <c r="E31" i="326"/>
  <c r="G30" i="326"/>
  <c r="F30" i="326"/>
  <c r="E30" i="326"/>
  <c r="G29" i="326"/>
  <c r="F29" i="326"/>
  <c r="E29" i="326"/>
  <c r="G28" i="326"/>
  <c r="F28" i="326"/>
  <c r="E28" i="326"/>
  <c r="G27" i="326"/>
  <c r="F27" i="326"/>
  <c r="E27" i="326"/>
  <c r="G19" i="326"/>
  <c r="F19" i="326"/>
  <c r="E19" i="326"/>
  <c r="G18" i="326"/>
  <c r="F18" i="326"/>
  <c r="E18" i="326"/>
  <c r="G17" i="326"/>
  <c r="F17" i="326"/>
  <c r="E17" i="326"/>
  <c r="G16" i="326"/>
  <c r="F16" i="326"/>
  <c r="E16" i="326"/>
  <c r="G15" i="326"/>
  <c r="F15" i="326"/>
  <c r="E15" i="326"/>
  <c r="G14" i="326"/>
  <c r="F14" i="326"/>
  <c r="E14" i="326"/>
  <c r="G13" i="326"/>
  <c r="F13" i="326"/>
  <c r="E13" i="326"/>
  <c r="G12" i="326"/>
  <c r="F12" i="326"/>
  <c r="E12" i="326"/>
  <c r="G11" i="326"/>
  <c r="F11" i="326"/>
  <c r="E11" i="326"/>
  <c r="G10" i="326"/>
  <c r="F10" i="326"/>
  <c r="E10" i="326"/>
  <c r="G9" i="326"/>
  <c r="F9" i="326"/>
  <c r="E9" i="326"/>
  <c r="G8" i="326"/>
  <c r="F8" i="326"/>
  <c r="E8" i="326"/>
  <c r="G7" i="326"/>
  <c r="F7" i="326"/>
  <c r="E7" i="326"/>
  <c r="G6" i="326"/>
  <c r="F6" i="326"/>
  <c r="E6" i="326"/>
  <c r="L21" i="303"/>
  <c r="K21" i="303"/>
  <c r="J21" i="303"/>
  <c r="H21" i="303"/>
  <c r="G21" i="303"/>
  <c r="F21" i="303"/>
  <c r="D21" i="303"/>
  <c r="C21" i="303"/>
  <c r="B21" i="303"/>
  <c r="P20" i="322"/>
  <c r="O20" i="322"/>
  <c r="N20" i="322"/>
  <c r="P18" i="322"/>
  <c r="O18" i="322"/>
  <c r="N18" i="322"/>
  <c r="P17" i="322"/>
  <c r="O17" i="322"/>
  <c r="N17" i="322"/>
  <c r="P16" i="322"/>
  <c r="O16" i="322"/>
  <c r="N16" i="322"/>
  <c r="P15" i="322"/>
  <c r="O15" i="322"/>
  <c r="N15" i="322"/>
  <c r="P14" i="322"/>
  <c r="O14" i="322"/>
  <c r="N14" i="322"/>
  <c r="P13" i="322"/>
  <c r="O13" i="322"/>
  <c r="N13" i="322"/>
  <c r="P12" i="322"/>
  <c r="O12" i="322"/>
  <c r="N12" i="322"/>
  <c r="P11" i="322"/>
  <c r="O11" i="322"/>
  <c r="N11" i="322"/>
  <c r="P10" i="322"/>
  <c r="O10" i="322"/>
  <c r="N10" i="322"/>
  <c r="P9" i="322"/>
  <c r="O9" i="322"/>
  <c r="N9" i="322"/>
  <c r="P8" i="322"/>
  <c r="O8" i="322"/>
  <c r="N8" i="322"/>
  <c r="P7" i="322"/>
  <c r="O7" i="322"/>
  <c r="N7" i="322"/>
  <c r="P6" i="322"/>
  <c r="O6" i="322"/>
  <c r="N6" i="322"/>
  <c r="P5" i="322"/>
  <c r="O5" i="322"/>
  <c r="N5" i="322"/>
  <c r="P9" i="321"/>
  <c r="O9" i="321"/>
  <c r="N9" i="321"/>
  <c r="P8" i="321"/>
  <c r="O8" i="321"/>
  <c r="N8" i="321"/>
  <c r="P7" i="321"/>
  <c r="O7" i="321"/>
  <c r="N7" i="321"/>
  <c r="P6" i="321"/>
  <c r="O6" i="321"/>
  <c r="N6" i="321"/>
  <c r="P5" i="321"/>
  <c r="O5" i="321"/>
  <c r="N5" i="321"/>
  <c r="M7" i="320"/>
  <c r="P7" i="320"/>
  <c r="O7" i="320"/>
  <c r="N7" i="320"/>
  <c r="P6" i="320"/>
  <c r="O6" i="320"/>
  <c r="N6" i="320"/>
  <c r="P5" i="320"/>
  <c r="O5" i="320"/>
  <c r="N5" i="320"/>
  <c r="P22" i="319"/>
  <c r="O22" i="319"/>
  <c r="N22" i="319"/>
  <c r="P21" i="319"/>
  <c r="O21" i="319"/>
  <c r="N21" i="319"/>
  <c r="P20" i="319"/>
  <c r="O20" i="319"/>
  <c r="N20" i="319"/>
  <c r="P19" i="319"/>
  <c r="O19" i="319"/>
  <c r="N19" i="319"/>
  <c r="P18" i="319"/>
  <c r="O18" i="319"/>
  <c r="N18" i="319"/>
  <c r="P17" i="319"/>
  <c r="O17" i="319"/>
  <c r="N17" i="319"/>
  <c r="P16" i="319"/>
  <c r="O16" i="319"/>
  <c r="N16" i="319"/>
  <c r="P15" i="319"/>
  <c r="O15" i="319"/>
  <c r="N15" i="319"/>
  <c r="P14" i="319"/>
  <c r="O14" i="319"/>
  <c r="N14" i="319"/>
  <c r="P13" i="319"/>
  <c r="O13" i="319"/>
  <c r="N13" i="319"/>
  <c r="P12" i="319"/>
  <c r="O12" i="319"/>
  <c r="N12" i="319"/>
  <c r="P11" i="319"/>
  <c r="O11" i="319"/>
  <c r="N11" i="319"/>
  <c r="P10" i="319"/>
  <c r="O10" i="319"/>
  <c r="N10" i="319"/>
  <c r="P9" i="319"/>
  <c r="O9" i="319"/>
  <c r="N9" i="319"/>
  <c r="P8" i="319"/>
  <c r="O8" i="319"/>
  <c r="N8" i="319"/>
  <c r="P7" i="319"/>
  <c r="O7" i="319"/>
  <c r="N7" i="319"/>
  <c r="P6" i="319"/>
  <c r="O6" i="319"/>
  <c r="N6" i="319"/>
  <c r="P5" i="319"/>
  <c r="O5" i="319"/>
  <c r="N5" i="319"/>
  <c r="P14" i="317"/>
  <c r="O14" i="317"/>
  <c r="N14" i="317"/>
  <c r="P13" i="317"/>
  <c r="O13" i="317"/>
  <c r="N13" i="317"/>
  <c r="P12" i="317"/>
  <c r="O12" i="317"/>
  <c r="N12" i="317"/>
  <c r="P11" i="317"/>
  <c r="O11" i="317"/>
  <c r="N11" i="317"/>
  <c r="P10" i="317"/>
  <c r="O10" i="317"/>
  <c r="N10" i="317"/>
  <c r="P9" i="317"/>
  <c r="O9" i="317"/>
  <c r="N9" i="317"/>
  <c r="P8" i="317"/>
  <c r="O8" i="317"/>
  <c r="N8" i="317"/>
  <c r="P7" i="317"/>
  <c r="O7" i="317"/>
  <c r="N7" i="317"/>
  <c r="P6" i="317"/>
  <c r="O6" i="317"/>
  <c r="N6" i="317"/>
  <c r="P5" i="317"/>
  <c r="O5" i="317"/>
  <c r="N5" i="317"/>
  <c r="P11" i="316"/>
  <c r="O11" i="316"/>
  <c r="N11" i="316"/>
  <c r="P10" i="316"/>
  <c r="O10" i="316"/>
  <c r="N10" i="316"/>
  <c r="P9" i="316"/>
  <c r="O9" i="316"/>
  <c r="N9" i="316"/>
  <c r="P8" i="316"/>
  <c r="O8" i="316"/>
  <c r="N8" i="316"/>
  <c r="P7" i="316"/>
  <c r="O7" i="316"/>
  <c r="N7" i="316"/>
  <c r="P6" i="316"/>
  <c r="O6" i="316"/>
  <c r="N6" i="316"/>
  <c r="P5" i="316"/>
  <c r="O5" i="316"/>
  <c r="N5" i="316"/>
  <c r="P24" i="315"/>
  <c r="O24" i="315"/>
  <c r="N24" i="315"/>
  <c r="P23" i="315"/>
  <c r="O23" i="315"/>
  <c r="N23" i="315"/>
  <c r="P22" i="315"/>
  <c r="O22" i="315"/>
  <c r="N22" i="315"/>
  <c r="P21" i="315"/>
  <c r="O21" i="315"/>
  <c r="N21" i="315"/>
  <c r="P20" i="315"/>
  <c r="O20" i="315"/>
  <c r="N20" i="315"/>
  <c r="P19" i="315"/>
  <c r="O19" i="315"/>
  <c r="N19" i="315"/>
  <c r="P18" i="315"/>
  <c r="O18" i="315"/>
  <c r="N18" i="315"/>
  <c r="P17" i="315"/>
  <c r="O17" i="315"/>
  <c r="N17" i="315"/>
  <c r="P16" i="315"/>
  <c r="O16" i="315"/>
  <c r="N16" i="315"/>
  <c r="P15" i="315"/>
  <c r="O15" i="315"/>
  <c r="N15" i="315"/>
  <c r="P14" i="315"/>
  <c r="O14" i="315"/>
  <c r="N14" i="315"/>
  <c r="P13" i="315"/>
  <c r="O13" i="315"/>
  <c r="N13" i="315"/>
  <c r="P12" i="315"/>
  <c r="O12" i="315"/>
  <c r="N12" i="315"/>
  <c r="P11" i="315"/>
  <c r="O11" i="315"/>
  <c r="N11" i="315"/>
  <c r="P10" i="315"/>
  <c r="O10" i="315"/>
  <c r="N10" i="315"/>
  <c r="P9" i="315"/>
  <c r="O9" i="315"/>
  <c r="N9" i="315"/>
  <c r="P8" i="315"/>
  <c r="O8" i="315"/>
  <c r="N8" i="315"/>
  <c r="P7" i="315"/>
  <c r="O7" i="315"/>
  <c r="N7" i="315"/>
  <c r="P6" i="315"/>
  <c r="O6" i="315"/>
  <c r="N6" i="315"/>
  <c r="P5" i="315"/>
  <c r="O5" i="315"/>
  <c r="N5" i="315"/>
  <c r="P12" i="314"/>
  <c r="O12" i="314"/>
  <c r="N12" i="314"/>
  <c r="P11" i="314"/>
  <c r="O11" i="314"/>
  <c r="N11" i="314"/>
  <c r="P10" i="314"/>
  <c r="O10" i="314"/>
  <c r="N10" i="314"/>
  <c r="P9" i="314"/>
  <c r="O9" i="314"/>
  <c r="N9" i="314"/>
  <c r="P8" i="314"/>
  <c r="O8" i="314"/>
  <c r="N8" i="314"/>
  <c r="P7" i="314"/>
  <c r="O7" i="314"/>
  <c r="N7" i="314"/>
  <c r="P6" i="314"/>
  <c r="O6" i="314"/>
  <c r="N6" i="314"/>
  <c r="P5" i="314"/>
  <c r="O5" i="314"/>
  <c r="N5" i="314"/>
  <c r="P6" i="313"/>
  <c r="O6" i="313"/>
  <c r="N6" i="313"/>
  <c r="P5" i="313"/>
  <c r="O5" i="313"/>
  <c r="N5" i="313"/>
  <c r="P7" i="312"/>
  <c r="O7" i="312"/>
  <c r="N7" i="312"/>
  <c r="P6" i="312"/>
  <c r="O6" i="312"/>
  <c r="N6" i="312"/>
  <c r="P5" i="312"/>
  <c r="O5" i="312"/>
  <c r="N5" i="312"/>
  <c r="P8" i="311"/>
  <c r="O8" i="311"/>
  <c r="N8" i="311"/>
  <c r="P7" i="311"/>
  <c r="O7" i="311"/>
  <c r="N7" i="311"/>
  <c r="P6" i="311"/>
  <c r="O6" i="311"/>
  <c r="N6" i="311"/>
  <c r="P5" i="311"/>
  <c r="O5" i="311"/>
  <c r="N5" i="311"/>
  <c r="P12" i="310"/>
  <c r="O12" i="310"/>
  <c r="N12" i="310"/>
  <c r="P11" i="310"/>
  <c r="O11" i="310"/>
  <c r="N11" i="310"/>
  <c r="P10" i="310"/>
  <c r="O10" i="310"/>
  <c r="N10" i="310"/>
  <c r="P9" i="310"/>
  <c r="O9" i="310"/>
  <c r="N9" i="310"/>
  <c r="P8" i="310"/>
  <c r="O8" i="310"/>
  <c r="N8" i="310"/>
  <c r="P7" i="310"/>
  <c r="O7" i="310"/>
  <c r="N7" i="310"/>
  <c r="P6" i="310"/>
  <c r="O6" i="310"/>
  <c r="N6" i="310"/>
  <c r="P5" i="310"/>
  <c r="O5" i="310"/>
  <c r="N5" i="310"/>
  <c r="P12" i="308"/>
  <c r="O12" i="308"/>
  <c r="N12" i="308"/>
  <c r="P11" i="308"/>
  <c r="O11" i="308"/>
  <c r="N11" i="308"/>
  <c r="P10" i="308"/>
  <c r="O10" i="308"/>
  <c r="N10" i="308"/>
  <c r="P9" i="308"/>
  <c r="O9" i="308"/>
  <c r="N9" i="308"/>
  <c r="P8" i="308"/>
  <c r="O8" i="308"/>
  <c r="N8" i="308"/>
  <c r="P7" i="308"/>
  <c r="O7" i="308"/>
  <c r="N7" i="308"/>
  <c r="P6" i="308"/>
  <c r="O6" i="308"/>
  <c r="N6" i="308"/>
  <c r="P5" i="308"/>
  <c r="O5" i="308"/>
  <c r="N5" i="308"/>
  <c r="P11" i="307"/>
  <c r="O11" i="307"/>
  <c r="N11" i="307"/>
  <c r="P10" i="307"/>
  <c r="O10" i="307"/>
  <c r="N10" i="307"/>
  <c r="P9" i="307"/>
  <c r="O9" i="307"/>
  <c r="N9" i="307"/>
  <c r="P8" i="307"/>
  <c r="O8" i="307"/>
  <c r="N8" i="307"/>
  <c r="P7" i="307"/>
  <c r="O7" i="307"/>
  <c r="N7" i="307"/>
  <c r="P6" i="307"/>
  <c r="O6" i="307"/>
  <c r="N6" i="307"/>
  <c r="P5" i="307"/>
  <c r="O5" i="307"/>
  <c r="N5" i="307"/>
  <c r="P16" i="306"/>
  <c r="O16" i="306"/>
  <c r="N16" i="306"/>
  <c r="P15" i="306"/>
  <c r="O15" i="306"/>
  <c r="N15" i="306"/>
  <c r="P14" i="306"/>
  <c r="O14" i="306"/>
  <c r="N14" i="306"/>
  <c r="P13" i="306"/>
  <c r="O13" i="306"/>
  <c r="N13" i="306"/>
  <c r="P12" i="306"/>
  <c r="O12" i="306"/>
  <c r="N12" i="306"/>
  <c r="P11" i="306"/>
  <c r="O11" i="306"/>
  <c r="N11" i="306"/>
  <c r="P10" i="306"/>
  <c r="O10" i="306"/>
  <c r="N10" i="306"/>
  <c r="P9" i="306"/>
  <c r="O9" i="306"/>
  <c r="N9" i="306"/>
  <c r="P8" i="306"/>
  <c r="O8" i="306"/>
  <c r="N8" i="306"/>
  <c r="P7" i="306"/>
  <c r="O7" i="306"/>
  <c r="N7" i="306"/>
  <c r="P6" i="306"/>
  <c r="O6" i="306"/>
  <c r="N6" i="306"/>
  <c r="P5" i="306"/>
  <c r="O5" i="306"/>
  <c r="N5" i="306"/>
  <c r="E7" i="282"/>
  <c r="E6" i="282"/>
  <c r="E5" i="282"/>
  <c r="E4" i="282"/>
  <c r="P7" i="281"/>
  <c r="O7" i="281"/>
  <c r="N7" i="281"/>
  <c r="P6" i="281"/>
  <c r="O6" i="281"/>
  <c r="N6" i="281"/>
  <c r="P5" i="281"/>
  <c r="O5" i="281"/>
  <c r="N5" i="281"/>
  <c r="D8" i="305"/>
  <c r="C8" i="305"/>
  <c r="B8" i="305"/>
  <c r="H8" i="305"/>
  <c r="G8" i="305"/>
  <c r="F8" i="305"/>
  <c r="L8" i="305"/>
  <c r="K8" i="305"/>
  <c r="J8" i="305"/>
  <c r="P7" i="305"/>
  <c r="O7" i="305"/>
  <c r="N7" i="305"/>
  <c r="P6" i="305"/>
  <c r="O6" i="305"/>
  <c r="N6" i="305"/>
  <c r="P5" i="305"/>
  <c r="O5" i="305"/>
  <c r="N5" i="305"/>
  <c r="P9" i="304"/>
  <c r="O9" i="304"/>
  <c r="N9" i="304"/>
  <c r="P8" i="304"/>
  <c r="O8" i="304"/>
  <c r="N8" i="304"/>
  <c r="P7" i="304"/>
  <c r="O7" i="304"/>
  <c r="N7" i="304"/>
  <c r="P6" i="304"/>
  <c r="O6" i="304"/>
  <c r="N6" i="304"/>
  <c r="P5" i="304"/>
  <c r="O5" i="304"/>
  <c r="N5" i="304"/>
  <c r="P20" i="303"/>
  <c r="O20" i="303"/>
  <c r="N20" i="303"/>
  <c r="P18" i="303"/>
  <c r="O18" i="303"/>
  <c r="N18" i="303"/>
  <c r="P17" i="303"/>
  <c r="O17" i="303"/>
  <c r="N17" i="303"/>
  <c r="P16" i="303"/>
  <c r="O16" i="303"/>
  <c r="N16" i="303"/>
  <c r="P15" i="303"/>
  <c r="O15" i="303"/>
  <c r="N15" i="303"/>
  <c r="P14" i="303"/>
  <c r="O14" i="303"/>
  <c r="N14" i="303"/>
  <c r="P13" i="303"/>
  <c r="O13" i="303"/>
  <c r="N13" i="303"/>
  <c r="P12" i="303"/>
  <c r="O12" i="303"/>
  <c r="N12" i="303"/>
  <c r="P11" i="303"/>
  <c r="O11" i="303"/>
  <c r="N11" i="303"/>
  <c r="P10" i="303"/>
  <c r="O10" i="303"/>
  <c r="N10" i="303"/>
  <c r="P9" i="303"/>
  <c r="O9" i="303"/>
  <c r="N9" i="303"/>
  <c r="P8" i="303"/>
  <c r="O8" i="303"/>
  <c r="N8" i="303"/>
  <c r="P7" i="303"/>
  <c r="O7" i="303"/>
  <c r="N7" i="303"/>
  <c r="P6" i="303"/>
  <c r="O6" i="303"/>
  <c r="N6" i="303"/>
  <c r="P5" i="303"/>
  <c r="O5" i="303"/>
  <c r="N5" i="303"/>
  <c r="P24" i="302"/>
  <c r="O24" i="302"/>
  <c r="N24" i="302"/>
  <c r="P23" i="302"/>
  <c r="O23" i="302"/>
  <c r="N23" i="302"/>
  <c r="P22" i="302"/>
  <c r="O22" i="302"/>
  <c r="N22" i="302"/>
  <c r="P21" i="302"/>
  <c r="O21" i="302"/>
  <c r="N21" i="302"/>
  <c r="P20" i="302"/>
  <c r="O20" i="302"/>
  <c r="N20" i="302"/>
  <c r="P19" i="302"/>
  <c r="O19" i="302"/>
  <c r="N19" i="302"/>
  <c r="P18" i="302"/>
  <c r="O18" i="302"/>
  <c r="N18" i="302"/>
  <c r="P17" i="302"/>
  <c r="O17" i="302"/>
  <c r="N17" i="302"/>
  <c r="P16" i="302"/>
  <c r="O16" i="302"/>
  <c r="N16" i="302"/>
  <c r="P15" i="302"/>
  <c r="O15" i="302"/>
  <c r="N15" i="302"/>
  <c r="P14" i="302"/>
  <c r="O14" i="302"/>
  <c r="N14" i="302"/>
  <c r="P13" i="302"/>
  <c r="O13" i="302"/>
  <c r="N13" i="302"/>
  <c r="P12" i="302"/>
  <c r="O12" i="302"/>
  <c r="N12" i="302"/>
  <c r="P11" i="302"/>
  <c r="O11" i="302"/>
  <c r="N11" i="302"/>
  <c r="P10" i="302"/>
  <c r="O10" i="302"/>
  <c r="N10" i="302"/>
  <c r="P9" i="302"/>
  <c r="O9" i="302"/>
  <c r="N9" i="302"/>
  <c r="P8" i="302"/>
  <c r="O8" i="302"/>
  <c r="N8" i="302"/>
  <c r="P7" i="302"/>
  <c r="O7" i="302"/>
  <c r="N7" i="302"/>
  <c r="P6" i="302"/>
  <c r="O6" i="302"/>
  <c r="N6" i="302"/>
  <c r="P5" i="302"/>
  <c r="O5" i="302"/>
  <c r="N5" i="302"/>
  <c r="P12" i="301"/>
  <c r="O12" i="301"/>
  <c r="N12" i="301"/>
  <c r="P11" i="301"/>
  <c r="O11" i="301"/>
  <c r="N11" i="301"/>
  <c r="P10" i="301"/>
  <c r="O10" i="301"/>
  <c r="N10" i="301"/>
  <c r="P9" i="301"/>
  <c r="O9" i="301"/>
  <c r="N9" i="301"/>
  <c r="P8" i="301"/>
  <c r="O8" i="301"/>
  <c r="N8" i="301"/>
  <c r="P7" i="301"/>
  <c r="O7" i="301"/>
  <c r="N7" i="301"/>
  <c r="P6" i="301"/>
  <c r="O6" i="301"/>
  <c r="N6" i="301"/>
  <c r="P5" i="301"/>
  <c r="O5" i="301"/>
  <c r="N5" i="301"/>
  <c r="P6" i="300"/>
  <c r="O6" i="300"/>
  <c r="N6" i="300"/>
  <c r="P5" i="300"/>
  <c r="O5" i="300"/>
  <c r="N5" i="300"/>
  <c r="P7" i="299"/>
  <c r="O7" i="299"/>
  <c r="N7" i="299"/>
  <c r="P6" i="299"/>
  <c r="O6" i="299"/>
  <c r="N6" i="299"/>
  <c r="P5" i="299"/>
  <c r="O5" i="299"/>
  <c r="N5" i="299"/>
  <c r="P8" i="298"/>
  <c r="O8" i="298"/>
  <c r="N8" i="298"/>
  <c r="P7" i="298"/>
  <c r="O7" i="298"/>
  <c r="N7" i="298"/>
  <c r="P6" i="298"/>
  <c r="O6" i="298"/>
  <c r="N6" i="298"/>
  <c r="P5" i="298"/>
  <c r="O5" i="298"/>
  <c r="N5" i="298"/>
  <c r="P12" i="297"/>
  <c r="O12" i="297"/>
  <c r="N12" i="297"/>
  <c r="P11" i="297"/>
  <c r="O11" i="297"/>
  <c r="N11" i="297"/>
  <c r="P10" i="297"/>
  <c r="O10" i="297"/>
  <c r="N10" i="297"/>
  <c r="P9" i="297"/>
  <c r="O9" i="297"/>
  <c r="N9" i="297"/>
  <c r="P8" i="297"/>
  <c r="O8" i="297"/>
  <c r="N8" i="297"/>
  <c r="P7" i="297"/>
  <c r="O7" i="297"/>
  <c r="N7" i="297"/>
  <c r="P6" i="297"/>
  <c r="O6" i="297"/>
  <c r="N6" i="297"/>
  <c r="P5" i="297"/>
  <c r="O5" i="297"/>
  <c r="N5" i="297"/>
  <c r="P12" i="296"/>
  <c r="O12" i="296"/>
  <c r="N12" i="296"/>
  <c r="P11" i="296"/>
  <c r="O11" i="296"/>
  <c r="N11" i="296"/>
  <c r="P10" i="296"/>
  <c r="O10" i="296"/>
  <c r="N10" i="296"/>
  <c r="P9" i="296"/>
  <c r="O9" i="296"/>
  <c r="N9" i="296"/>
  <c r="P8" i="296"/>
  <c r="O8" i="296"/>
  <c r="N8" i="296"/>
  <c r="P7" i="296"/>
  <c r="O7" i="296"/>
  <c r="N7" i="296"/>
  <c r="P6" i="296"/>
  <c r="O6" i="296"/>
  <c r="N6" i="296"/>
  <c r="P5" i="296"/>
  <c r="O5" i="296"/>
  <c r="N5" i="296"/>
  <c r="P11" i="295"/>
  <c r="O11" i="295"/>
  <c r="N11" i="295"/>
  <c r="P10" i="295"/>
  <c r="O10" i="295"/>
  <c r="N10" i="295"/>
  <c r="P9" i="295"/>
  <c r="O9" i="295"/>
  <c r="N9" i="295"/>
  <c r="P8" i="295"/>
  <c r="O8" i="295"/>
  <c r="N8" i="295"/>
  <c r="P7" i="295"/>
  <c r="O7" i="295"/>
  <c r="N7" i="295"/>
  <c r="P6" i="295"/>
  <c r="O6" i="295"/>
  <c r="N6" i="295"/>
  <c r="P5" i="295"/>
  <c r="O5" i="295"/>
  <c r="N5" i="295"/>
  <c r="P16" i="294"/>
  <c r="O16" i="294"/>
  <c r="N16" i="294"/>
  <c r="P15" i="294"/>
  <c r="O15" i="294"/>
  <c r="N15" i="294"/>
  <c r="P14" i="294"/>
  <c r="O14" i="294"/>
  <c r="N14" i="294"/>
  <c r="P13" i="294"/>
  <c r="O13" i="294"/>
  <c r="N13" i="294"/>
  <c r="P12" i="294"/>
  <c r="O12" i="294"/>
  <c r="N12" i="294"/>
  <c r="P11" i="294"/>
  <c r="O11" i="294"/>
  <c r="N11" i="294"/>
  <c r="P10" i="294"/>
  <c r="O10" i="294"/>
  <c r="N10" i="294"/>
  <c r="P9" i="294"/>
  <c r="O9" i="294"/>
  <c r="N9" i="294"/>
  <c r="P8" i="294"/>
  <c r="O8" i="294"/>
  <c r="N8" i="294"/>
  <c r="P7" i="294"/>
  <c r="O7" i="294"/>
  <c r="N7" i="294"/>
  <c r="P6" i="294"/>
  <c r="O6" i="294"/>
  <c r="N6" i="294"/>
  <c r="P5" i="294"/>
  <c r="O5" i="294"/>
  <c r="N5" i="294"/>
  <c r="E9" i="280"/>
  <c r="E7" i="280"/>
  <c r="E6" i="280"/>
  <c r="E5" i="280"/>
  <c r="E4" i="280"/>
  <c r="P7" i="279"/>
  <c r="O7" i="279"/>
  <c r="N7" i="279"/>
  <c r="P6" i="279"/>
  <c r="O6" i="279"/>
  <c r="N6" i="279"/>
  <c r="P5" i="279"/>
  <c r="O5" i="279"/>
  <c r="N5" i="279"/>
  <c r="L21" i="292"/>
  <c r="K21" i="292"/>
  <c r="J21" i="292"/>
  <c r="H21" i="292"/>
  <c r="G21" i="292"/>
  <c r="F21" i="292"/>
  <c r="D21" i="292"/>
  <c r="C21" i="292"/>
  <c r="B21" i="292"/>
  <c r="E18" i="292"/>
  <c r="E17" i="292"/>
  <c r="I18" i="292"/>
  <c r="I17" i="292"/>
  <c r="I13" i="292"/>
  <c r="I12" i="292"/>
  <c r="I11" i="292"/>
  <c r="I10" i="292"/>
  <c r="I9" i="292"/>
  <c r="I8" i="292"/>
  <c r="I7" i="292"/>
  <c r="I6" i="292"/>
  <c r="I5" i="292"/>
  <c r="M18" i="292"/>
  <c r="M17" i="292"/>
  <c r="M16" i="292"/>
  <c r="M15" i="292"/>
  <c r="M14" i="292"/>
  <c r="M13" i="292"/>
  <c r="M12" i="292"/>
  <c r="M11" i="292"/>
  <c r="M10" i="292"/>
  <c r="M9" i="292"/>
  <c r="M8" i="292"/>
  <c r="M7" i="292"/>
  <c r="M6" i="292"/>
  <c r="M5" i="292"/>
  <c r="N20" i="292"/>
  <c r="O20" i="292"/>
  <c r="P20" i="292"/>
  <c r="F39" i="326" l="1"/>
  <c r="Q7" i="320"/>
  <c r="Q13" i="317"/>
  <c r="P23" i="319"/>
  <c r="N23" i="319"/>
  <c r="O23" i="319"/>
  <c r="N8" i="305"/>
  <c r="O8" i="305"/>
  <c r="P8" i="305"/>
  <c r="N21" i="303"/>
  <c r="O21" i="303"/>
  <c r="P21" i="303"/>
  <c r="Q12" i="297"/>
  <c r="W31" i="270"/>
  <c r="X31" i="270"/>
  <c r="Y31" i="270"/>
  <c r="P6" i="290"/>
  <c r="O6" i="290"/>
  <c r="N6" i="290"/>
  <c r="P5" i="290"/>
  <c r="O5" i="290"/>
  <c r="N5" i="290"/>
  <c r="P17" i="291"/>
  <c r="O17" i="291"/>
  <c r="N17" i="291"/>
  <c r="P16" i="291"/>
  <c r="O16" i="291"/>
  <c r="N16" i="291"/>
  <c r="P15" i="291"/>
  <c r="O15" i="291"/>
  <c r="N15" i="291"/>
  <c r="P14" i="291"/>
  <c r="O14" i="291"/>
  <c r="N14" i="291"/>
  <c r="P13" i="291"/>
  <c r="O13" i="291"/>
  <c r="N13" i="291"/>
  <c r="P12" i="291"/>
  <c r="O12" i="291"/>
  <c r="N12" i="291"/>
  <c r="P11" i="291"/>
  <c r="O11" i="291"/>
  <c r="N11" i="291"/>
  <c r="P10" i="291"/>
  <c r="O10" i="291"/>
  <c r="N10" i="291"/>
  <c r="P9" i="291"/>
  <c r="O9" i="291"/>
  <c r="N9" i="291"/>
  <c r="P8" i="291"/>
  <c r="O8" i="291"/>
  <c r="N8" i="291"/>
  <c r="P7" i="291"/>
  <c r="O7" i="291"/>
  <c r="N7" i="291"/>
  <c r="P6" i="291"/>
  <c r="O6" i="291"/>
  <c r="N6" i="291"/>
  <c r="P5" i="291"/>
  <c r="O5" i="291"/>
  <c r="N5" i="291"/>
  <c r="M11" i="289"/>
  <c r="P24" i="289"/>
  <c r="O24" i="289"/>
  <c r="N24" i="289"/>
  <c r="P23" i="289"/>
  <c r="O23" i="289"/>
  <c r="N23" i="289"/>
  <c r="P22" i="289"/>
  <c r="O22" i="289"/>
  <c r="N22" i="289"/>
  <c r="P21" i="289"/>
  <c r="O21" i="289"/>
  <c r="N21" i="289"/>
  <c r="P20" i="289"/>
  <c r="O20" i="289"/>
  <c r="N20" i="289"/>
  <c r="P19" i="289"/>
  <c r="O19" i="289"/>
  <c r="N19" i="289"/>
  <c r="P18" i="289"/>
  <c r="O18" i="289"/>
  <c r="N18" i="289"/>
  <c r="P17" i="289"/>
  <c r="O17" i="289"/>
  <c r="N17" i="289"/>
  <c r="P16" i="289"/>
  <c r="O16" i="289"/>
  <c r="N16" i="289"/>
  <c r="P15" i="289"/>
  <c r="O15" i="289"/>
  <c r="N15" i="289"/>
  <c r="P14" i="289"/>
  <c r="O14" i="289"/>
  <c r="N14" i="289"/>
  <c r="P13" i="289"/>
  <c r="O13" i="289"/>
  <c r="N13" i="289"/>
  <c r="P12" i="289"/>
  <c r="O12" i="289"/>
  <c r="N12" i="289"/>
  <c r="P11" i="289"/>
  <c r="O11" i="289"/>
  <c r="N11" i="289"/>
  <c r="P10" i="289"/>
  <c r="O10" i="289"/>
  <c r="N10" i="289"/>
  <c r="P9" i="289"/>
  <c r="O9" i="289"/>
  <c r="N9" i="289"/>
  <c r="P8" i="289"/>
  <c r="O8" i="289"/>
  <c r="N8" i="289"/>
  <c r="P7" i="289"/>
  <c r="O7" i="289"/>
  <c r="N7" i="289"/>
  <c r="P6" i="289"/>
  <c r="O6" i="289"/>
  <c r="N6" i="289"/>
  <c r="P5" i="289"/>
  <c r="O5" i="289"/>
  <c r="N5" i="289"/>
  <c r="N12" i="288"/>
  <c r="N11" i="288"/>
  <c r="N10" i="288"/>
  <c r="N9" i="288"/>
  <c r="N8" i="288"/>
  <c r="N7" i="288"/>
  <c r="N6" i="288"/>
  <c r="N5" i="288"/>
  <c r="P6" i="287"/>
  <c r="O6" i="287"/>
  <c r="N6" i="287"/>
  <c r="P5" i="287"/>
  <c r="O5" i="287"/>
  <c r="N5" i="287"/>
  <c r="P8" i="286"/>
  <c r="O8" i="286"/>
  <c r="N8" i="286"/>
  <c r="P7" i="286"/>
  <c r="O7" i="286"/>
  <c r="N7" i="286"/>
  <c r="P6" i="286"/>
  <c r="O6" i="286"/>
  <c r="N6" i="286"/>
  <c r="P5" i="286"/>
  <c r="O5" i="286"/>
  <c r="N5" i="286"/>
  <c r="P11" i="285"/>
  <c r="O11" i="285"/>
  <c r="N11" i="285"/>
  <c r="P10" i="285"/>
  <c r="O10" i="285"/>
  <c r="N10" i="285"/>
  <c r="P9" i="285"/>
  <c r="O9" i="285"/>
  <c r="N9" i="285"/>
  <c r="P8" i="285"/>
  <c r="O8" i="285"/>
  <c r="N8" i="285"/>
  <c r="P7" i="285"/>
  <c r="O7" i="285"/>
  <c r="N7" i="285"/>
  <c r="P6" i="285"/>
  <c r="O6" i="285"/>
  <c r="N6" i="285"/>
  <c r="P5" i="285"/>
  <c r="O5" i="285"/>
  <c r="N5" i="285"/>
  <c r="P12" i="284"/>
  <c r="O12" i="284"/>
  <c r="N12" i="284"/>
  <c r="P11" i="284"/>
  <c r="O11" i="284"/>
  <c r="N11" i="284"/>
  <c r="P10" i="284"/>
  <c r="O10" i="284"/>
  <c r="N10" i="284"/>
  <c r="P9" i="284"/>
  <c r="O9" i="284"/>
  <c r="N9" i="284"/>
  <c r="P8" i="284"/>
  <c r="O8" i="284"/>
  <c r="N8" i="284"/>
  <c r="P7" i="284"/>
  <c r="O7" i="284"/>
  <c r="N7" i="284"/>
  <c r="P6" i="284"/>
  <c r="O6" i="284"/>
  <c r="N6" i="284"/>
  <c r="P5" i="284"/>
  <c r="O5" i="284"/>
  <c r="N5" i="284"/>
  <c r="P11" i="293"/>
  <c r="O11" i="293"/>
  <c r="N11" i="293"/>
  <c r="P10" i="293"/>
  <c r="O10" i="293"/>
  <c r="N10" i="293"/>
  <c r="P9" i="293"/>
  <c r="O9" i="293"/>
  <c r="N9" i="293"/>
  <c r="P8" i="293"/>
  <c r="O8" i="293"/>
  <c r="N8" i="293"/>
  <c r="P7" i="293"/>
  <c r="O7" i="293"/>
  <c r="N7" i="293"/>
  <c r="P6" i="293"/>
  <c r="O6" i="293"/>
  <c r="N6" i="293"/>
  <c r="P5" i="293"/>
  <c r="O5" i="293"/>
  <c r="N5" i="293"/>
  <c r="P16" i="283"/>
  <c r="O16" i="283"/>
  <c r="N16" i="283"/>
  <c r="P15" i="283"/>
  <c r="O15" i="283"/>
  <c r="N15" i="283"/>
  <c r="P14" i="283"/>
  <c r="O14" i="283"/>
  <c r="N14" i="283"/>
  <c r="P13" i="283"/>
  <c r="O13" i="283"/>
  <c r="N13" i="283"/>
  <c r="P12" i="283"/>
  <c r="O12" i="283"/>
  <c r="N12" i="283"/>
  <c r="P11" i="283"/>
  <c r="O11" i="283"/>
  <c r="N11" i="283"/>
  <c r="P10" i="283"/>
  <c r="O10" i="283"/>
  <c r="N10" i="283"/>
  <c r="P9" i="283"/>
  <c r="O9" i="283"/>
  <c r="N9" i="283"/>
  <c r="P8" i="283"/>
  <c r="O8" i="283"/>
  <c r="N8" i="283"/>
  <c r="P7" i="283"/>
  <c r="O7" i="283"/>
  <c r="N7" i="283"/>
  <c r="P6" i="283"/>
  <c r="O6" i="283"/>
  <c r="N6" i="283"/>
  <c r="P5" i="283"/>
  <c r="O5" i="283"/>
  <c r="N5" i="283"/>
  <c r="P7" i="277"/>
  <c r="O7" i="277"/>
  <c r="N7" i="277"/>
  <c r="P6" i="277"/>
  <c r="O6" i="277"/>
  <c r="N6" i="277"/>
  <c r="P5" i="277"/>
  <c r="O5" i="277"/>
  <c r="N5" i="277"/>
  <c r="L8" i="274"/>
  <c r="K8" i="274"/>
  <c r="J8" i="274"/>
  <c r="H8" i="274"/>
  <c r="G8" i="274"/>
  <c r="F8" i="274"/>
  <c r="D8" i="274"/>
  <c r="C8" i="274"/>
  <c r="B8" i="274"/>
  <c r="P7" i="271"/>
  <c r="O7" i="271"/>
  <c r="N7" i="271"/>
  <c r="P6" i="271"/>
  <c r="O6" i="271"/>
  <c r="N6" i="271"/>
  <c r="P5" i="271"/>
  <c r="O5" i="271"/>
  <c r="N5" i="271"/>
  <c r="S31" i="270"/>
  <c r="R31" i="270"/>
  <c r="Q31" i="270"/>
  <c r="S30" i="270"/>
  <c r="R30" i="270"/>
  <c r="Q30" i="270"/>
  <c r="S26" i="270"/>
  <c r="Q26" i="270"/>
  <c r="S25" i="270"/>
  <c r="R25" i="270"/>
  <c r="Q25" i="270"/>
  <c r="S24" i="270"/>
  <c r="R24" i="270"/>
  <c r="Q24" i="270"/>
  <c r="S23" i="270"/>
  <c r="R23" i="270"/>
  <c r="Q23" i="270"/>
  <c r="S22" i="270"/>
  <c r="R22" i="270"/>
  <c r="Q22" i="270"/>
  <c r="S21" i="270"/>
  <c r="R21" i="270"/>
  <c r="Q21" i="270"/>
  <c r="P31" i="270"/>
  <c r="O31" i="270"/>
  <c r="N31" i="270"/>
  <c r="P30" i="270"/>
  <c r="O30" i="270"/>
  <c r="N30" i="270"/>
  <c r="P29" i="270"/>
  <c r="O29" i="270"/>
  <c r="N29" i="270"/>
  <c r="P27" i="270"/>
  <c r="O27" i="270"/>
  <c r="N27" i="270"/>
  <c r="P26" i="270"/>
  <c r="O26" i="270"/>
  <c r="N26" i="270"/>
  <c r="P25" i="270"/>
  <c r="O25" i="270"/>
  <c r="N25" i="270"/>
  <c r="P24" i="270"/>
  <c r="O24" i="270"/>
  <c r="N24" i="270"/>
  <c r="P23" i="270"/>
  <c r="O23" i="270"/>
  <c r="N23" i="270"/>
  <c r="P22" i="270"/>
  <c r="O22" i="270"/>
  <c r="N22" i="270"/>
  <c r="P21" i="270"/>
  <c r="O21" i="270"/>
  <c r="N21" i="270"/>
  <c r="L30" i="270"/>
  <c r="K30" i="270"/>
  <c r="L29" i="270"/>
  <c r="K25" i="270" s="1"/>
  <c r="K29" i="270"/>
  <c r="L28" i="270"/>
  <c r="K28" i="270"/>
  <c r="L24" i="270" s="1"/>
  <c r="J30" i="270"/>
  <c r="I30" i="270"/>
  <c r="H30" i="270"/>
  <c r="J29" i="270"/>
  <c r="I29" i="270"/>
  <c r="H29" i="270"/>
  <c r="J28" i="270"/>
  <c r="I28" i="270"/>
  <c r="H28" i="270"/>
  <c r="G30" i="270"/>
  <c r="F30" i="270"/>
  <c r="E30" i="270"/>
  <c r="G29" i="270"/>
  <c r="F25" i="270" s="1"/>
  <c r="F29" i="270"/>
  <c r="E29" i="270"/>
  <c r="G28" i="270"/>
  <c r="F28" i="270"/>
  <c r="E28" i="270"/>
  <c r="D28" i="270"/>
  <c r="D29" i="270"/>
  <c r="D30" i="270"/>
  <c r="C28" i="270"/>
  <c r="C29" i="270"/>
  <c r="C30" i="270"/>
  <c r="B28" i="270"/>
  <c r="B29" i="270"/>
  <c r="B30" i="270"/>
  <c r="F5" i="269"/>
  <c r="Q23" i="268"/>
  <c r="Q24" i="268"/>
  <c r="M24" i="268"/>
  <c r="M23" i="268"/>
  <c r="I24" i="268"/>
  <c r="I23" i="268"/>
  <c r="E24" i="268"/>
  <c r="E23" i="268"/>
  <c r="Q11" i="289" l="1"/>
  <c r="O25" i="289"/>
  <c r="P25" i="289"/>
  <c r="N25" i="289"/>
  <c r="N13" i="288"/>
  <c r="Q11" i="288"/>
  <c r="Q8" i="285"/>
  <c r="Q6" i="284"/>
  <c r="K26" i="270"/>
  <c r="I26" i="270"/>
  <c r="M25" i="270"/>
  <c r="L25" i="270"/>
  <c r="C26" i="270"/>
  <c r="F24" i="270"/>
  <c r="M26" i="270"/>
  <c r="I25" i="270"/>
  <c r="I24" i="270"/>
  <c r="H24" i="270"/>
  <c r="G25" i="270"/>
  <c r="J25" i="270"/>
  <c r="D26" i="270"/>
  <c r="E24" i="270"/>
  <c r="C25" i="270"/>
  <c r="D25" i="270"/>
  <c r="C24" i="270"/>
  <c r="M24" i="270"/>
  <c r="E26" i="270"/>
  <c r="J26" i="270"/>
  <c r="F26" i="270"/>
  <c r="B25" i="270"/>
  <c r="B24" i="270"/>
  <c r="E25" i="270"/>
  <c r="E12" i="264"/>
  <c r="E11" i="264"/>
  <c r="E10" i="264"/>
  <c r="E9" i="264"/>
  <c r="E8" i="264"/>
  <c r="E7" i="264"/>
  <c r="E6" i="264"/>
  <c r="E5" i="264"/>
  <c r="I7" i="264"/>
  <c r="I6" i="264"/>
  <c r="I5" i="264"/>
  <c r="M8" i="264"/>
  <c r="M7" i="264"/>
  <c r="M6" i="264"/>
  <c r="M5" i="264"/>
  <c r="Q12" i="264"/>
  <c r="Q11" i="264"/>
  <c r="Q10" i="264"/>
  <c r="Q9" i="264"/>
  <c r="Q8" i="264"/>
  <c r="Q7" i="264"/>
  <c r="Q6" i="264"/>
  <c r="Q5" i="264"/>
  <c r="P13" i="264"/>
  <c r="O13" i="264"/>
  <c r="N13" i="264"/>
  <c r="L13" i="264"/>
  <c r="K13" i="264"/>
  <c r="J13" i="264"/>
  <c r="H13" i="264"/>
  <c r="G13" i="264"/>
  <c r="F13" i="264"/>
  <c r="D13" i="264"/>
  <c r="C13" i="264"/>
  <c r="B13" i="264"/>
  <c r="Q11" i="316"/>
  <c r="Q10" i="316"/>
  <c r="Q9" i="316"/>
  <c r="Q8" i="316"/>
  <c r="Q7" i="316"/>
  <c r="Q6" i="316"/>
  <c r="Q5" i="316"/>
  <c r="M11" i="316"/>
  <c r="M10" i="316"/>
  <c r="M9" i="316"/>
  <c r="M8" i="316"/>
  <c r="M7" i="316"/>
  <c r="M6" i="316"/>
  <c r="M5" i="316"/>
  <c r="I11" i="316"/>
  <c r="I10" i="316"/>
  <c r="I7" i="316"/>
  <c r="I6" i="316"/>
  <c r="I5" i="316"/>
  <c r="E11" i="316"/>
  <c r="E10" i="316"/>
  <c r="E9" i="316"/>
  <c r="E7" i="316"/>
  <c r="E6" i="316"/>
  <c r="E5" i="316"/>
  <c r="P12" i="316"/>
  <c r="O12" i="316"/>
  <c r="N12" i="316"/>
  <c r="L12" i="316"/>
  <c r="K12" i="316"/>
  <c r="J12" i="316"/>
  <c r="H12" i="316"/>
  <c r="G12" i="316"/>
  <c r="F12" i="316"/>
  <c r="D12" i="316"/>
  <c r="C12" i="316"/>
  <c r="B12" i="316"/>
  <c r="Q20" i="322"/>
  <c r="Q18" i="322"/>
  <c r="Q17" i="322"/>
  <c r="Q16" i="322"/>
  <c r="Q15" i="322"/>
  <c r="Q14" i="322"/>
  <c r="Q13" i="322"/>
  <c r="Q12" i="322"/>
  <c r="Q11" i="322"/>
  <c r="Q10" i="322"/>
  <c r="Q9" i="322"/>
  <c r="Q8" i="322"/>
  <c r="Q7" i="322"/>
  <c r="Q6" i="322"/>
  <c r="Q5" i="322"/>
  <c r="M20" i="322"/>
  <c r="M18" i="322"/>
  <c r="M17" i="322"/>
  <c r="M16" i="322"/>
  <c r="M15" i="322"/>
  <c r="M14" i="322"/>
  <c r="M13" i="322"/>
  <c r="M12" i="322"/>
  <c r="M11" i="322"/>
  <c r="M10" i="322"/>
  <c r="M9" i="322"/>
  <c r="M8" i="322"/>
  <c r="M7" i="322"/>
  <c r="M6" i="322"/>
  <c r="M5" i="322"/>
  <c r="I18" i="322"/>
  <c r="I17" i="322"/>
  <c r="I16" i="322"/>
  <c r="I15" i="322"/>
  <c r="I14" i="322"/>
  <c r="I13" i="322"/>
  <c r="I12" i="322"/>
  <c r="I11" i="322"/>
  <c r="I10" i="322"/>
  <c r="I9" i="322"/>
  <c r="I8" i="322"/>
  <c r="I7" i="322"/>
  <c r="I6" i="322"/>
  <c r="I5" i="322"/>
  <c r="E18" i="322"/>
  <c r="E17" i="322"/>
  <c r="E16" i="322"/>
  <c r="E15" i="322"/>
  <c r="E14" i="322"/>
  <c r="E13" i="322"/>
  <c r="E12" i="322"/>
  <c r="E11" i="322"/>
  <c r="E10" i="322"/>
  <c r="E9" i="322"/>
  <c r="E8" i="322"/>
  <c r="E7" i="322"/>
  <c r="E6" i="322"/>
  <c r="P21" i="322"/>
  <c r="O21" i="322"/>
  <c r="N21" i="322"/>
  <c r="L21" i="322"/>
  <c r="K21" i="322"/>
  <c r="J21" i="322"/>
  <c r="H21" i="322"/>
  <c r="G21" i="322"/>
  <c r="F21" i="322"/>
  <c r="D21" i="322"/>
  <c r="C21" i="322"/>
  <c r="B21" i="322"/>
  <c r="Q9" i="321"/>
  <c r="Q8" i="321"/>
  <c r="Q7" i="321"/>
  <c r="Q6" i="321"/>
  <c r="Q5" i="321"/>
  <c r="M9" i="321"/>
  <c r="M8" i="321"/>
  <c r="M7" i="321"/>
  <c r="M6" i="321"/>
  <c r="M5" i="321"/>
  <c r="I9" i="321"/>
  <c r="I8" i="321"/>
  <c r="I7" i="321"/>
  <c r="I6" i="321"/>
  <c r="I5" i="321"/>
  <c r="E8" i="321"/>
  <c r="E7" i="321"/>
  <c r="E6" i="321"/>
  <c r="E5" i="321"/>
  <c r="P10" i="321"/>
  <c r="O10" i="321"/>
  <c r="N10" i="321"/>
  <c r="L10" i="321"/>
  <c r="K10" i="321"/>
  <c r="J10" i="321"/>
  <c r="H10" i="321"/>
  <c r="I10" i="321" s="1"/>
  <c r="G10" i="321"/>
  <c r="F10" i="321"/>
  <c r="D10" i="321"/>
  <c r="C10" i="321"/>
  <c r="B10" i="321"/>
  <c r="Q6" i="320"/>
  <c r="Q5" i="320"/>
  <c r="M6" i="320"/>
  <c r="M5" i="320"/>
  <c r="I6" i="320"/>
  <c r="I5" i="320"/>
  <c r="E6" i="320"/>
  <c r="E5" i="320"/>
  <c r="P8" i="320"/>
  <c r="O8" i="320"/>
  <c r="N8" i="320"/>
  <c r="L8" i="320"/>
  <c r="K8" i="320"/>
  <c r="J8" i="320"/>
  <c r="H8" i="320"/>
  <c r="G8" i="320"/>
  <c r="F8" i="320"/>
  <c r="D8" i="320"/>
  <c r="C8" i="320"/>
  <c r="B8" i="320"/>
  <c r="Q22" i="319"/>
  <c r="Q21" i="319"/>
  <c r="Q20" i="319"/>
  <c r="Q19" i="319"/>
  <c r="Q18" i="319"/>
  <c r="Q17" i="319"/>
  <c r="Q16" i="319"/>
  <c r="Q15" i="319"/>
  <c r="Q14" i="319"/>
  <c r="Q13" i="319"/>
  <c r="Q12" i="319"/>
  <c r="Q11" i="319"/>
  <c r="Q10" i="319"/>
  <c r="Q9" i="319"/>
  <c r="Q8" i="319"/>
  <c r="Q7" i="319"/>
  <c r="Q6" i="319"/>
  <c r="Q5" i="319"/>
  <c r="M22" i="319"/>
  <c r="M21" i="319"/>
  <c r="M20" i="319"/>
  <c r="M19" i="319"/>
  <c r="M18" i="319"/>
  <c r="M17" i="319"/>
  <c r="M16" i="319"/>
  <c r="M15" i="319"/>
  <c r="M14" i="319"/>
  <c r="M13" i="319"/>
  <c r="M12" i="319"/>
  <c r="M11" i="319"/>
  <c r="M10" i="319"/>
  <c r="M9" i="319"/>
  <c r="M8" i="319"/>
  <c r="M7" i="319"/>
  <c r="M6" i="319"/>
  <c r="M5" i="319"/>
  <c r="I22" i="319"/>
  <c r="I21" i="319"/>
  <c r="I20" i="319"/>
  <c r="I16" i="319"/>
  <c r="I15" i="319"/>
  <c r="I14" i="319"/>
  <c r="I13" i="319"/>
  <c r="I12" i="319"/>
  <c r="I10" i="319"/>
  <c r="I9" i="319"/>
  <c r="I8" i="319"/>
  <c r="I7" i="319"/>
  <c r="I6" i="319"/>
  <c r="I5" i="319"/>
  <c r="E9" i="319"/>
  <c r="E8" i="319"/>
  <c r="E7" i="319"/>
  <c r="E5" i="319"/>
  <c r="M23" i="319"/>
  <c r="I23" i="319"/>
  <c r="W14" i="317"/>
  <c r="V14" i="317"/>
  <c r="U14" i="317"/>
  <c r="T14" i="317"/>
  <c r="S14" i="317"/>
  <c r="R14" i="317"/>
  <c r="W13" i="317"/>
  <c r="V13" i="317"/>
  <c r="U13" i="317"/>
  <c r="T13" i="317"/>
  <c r="S13" i="317"/>
  <c r="R13" i="317"/>
  <c r="W12" i="317"/>
  <c r="V12" i="317"/>
  <c r="U12" i="317"/>
  <c r="T12" i="317"/>
  <c r="S12" i="317"/>
  <c r="R12" i="317"/>
  <c r="W11" i="317"/>
  <c r="V11" i="317"/>
  <c r="U11" i="317"/>
  <c r="T11" i="317"/>
  <c r="S11" i="317"/>
  <c r="R11" i="317"/>
  <c r="W10" i="317"/>
  <c r="V10" i="317"/>
  <c r="U10" i="317"/>
  <c r="T10" i="317"/>
  <c r="S10" i="317"/>
  <c r="R10" i="317"/>
  <c r="W9" i="317"/>
  <c r="V9" i="317"/>
  <c r="U9" i="317"/>
  <c r="T9" i="317"/>
  <c r="S9" i="317"/>
  <c r="R9" i="317"/>
  <c r="W8" i="317"/>
  <c r="V8" i="317"/>
  <c r="U8" i="317"/>
  <c r="T8" i="317"/>
  <c r="S8" i="317"/>
  <c r="R8" i="317"/>
  <c r="W7" i="317"/>
  <c r="V7" i="317"/>
  <c r="U7" i="317"/>
  <c r="T7" i="317"/>
  <c r="S7" i="317"/>
  <c r="R7" i="317"/>
  <c r="W6" i="317"/>
  <c r="V6" i="317"/>
  <c r="U6" i="317"/>
  <c r="T6" i="317"/>
  <c r="S6" i="317"/>
  <c r="R6" i="317"/>
  <c r="W5" i="317"/>
  <c r="V5" i="317"/>
  <c r="U5" i="317"/>
  <c r="T5" i="317"/>
  <c r="S5" i="317"/>
  <c r="R5" i="317"/>
  <c r="Q14" i="317"/>
  <c r="Q12" i="317"/>
  <c r="Q11" i="317"/>
  <c r="Q10" i="317"/>
  <c r="Q9" i="317"/>
  <c r="Q8" i="317"/>
  <c r="Q7" i="317"/>
  <c r="Q6" i="317"/>
  <c r="Q5" i="317"/>
  <c r="M14" i="317"/>
  <c r="M13" i="317"/>
  <c r="M12" i="317"/>
  <c r="M11" i="317"/>
  <c r="M10" i="317"/>
  <c r="M9" i="317"/>
  <c r="M8" i="317"/>
  <c r="M7" i="317"/>
  <c r="M6" i="317"/>
  <c r="M5" i="317"/>
  <c r="I14" i="317"/>
  <c r="I13" i="317"/>
  <c r="I12" i="317"/>
  <c r="I11" i="317"/>
  <c r="I10" i="317"/>
  <c r="I9" i="317"/>
  <c r="I8" i="317"/>
  <c r="I7" i="317"/>
  <c r="I6" i="317"/>
  <c r="I5" i="317"/>
  <c r="E13" i="317"/>
  <c r="E11" i="317"/>
  <c r="E6" i="317"/>
  <c r="P15" i="317"/>
  <c r="O15" i="317"/>
  <c r="N15" i="317"/>
  <c r="L15" i="317"/>
  <c r="K15" i="317"/>
  <c r="J15" i="317"/>
  <c r="H15" i="317"/>
  <c r="G15" i="317"/>
  <c r="F15" i="317"/>
  <c r="D15" i="317"/>
  <c r="C15" i="317"/>
  <c r="B15" i="317"/>
  <c r="Q24" i="315"/>
  <c r="Q23" i="315"/>
  <c r="Q22" i="315"/>
  <c r="Q21" i="315"/>
  <c r="Q20" i="315"/>
  <c r="Q19" i="315"/>
  <c r="Q18" i="315"/>
  <c r="Q17" i="315"/>
  <c r="Q16" i="315"/>
  <c r="Q15" i="315"/>
  <c r="Q14" i="315"/>
  <c r="Q13" i="315"/>
  <c r="Q12" i="315"/>
  <c r="Q11" i="315"/>
  <c r="Q10" i="315"/>
  <c r="Q9" i="315"/>
  <c r="Q8" i="315"/>
  <c r="Q7" i="315"/>
  <c r="Q6" i="315"/>
  <c r="Q5" i="315"/>
  <c r="M24" i="315"/>
  <c r="M23" i="315"/>
  <c r="M22" i="315"/>
  <c r="M21" i="315"/>
  <c r="M20" i="315"/>
  <c r="M19" i="315"/>
  <c r="M18" i="315"/>
  <c r="M17" i="315"/>
  <c r="M16" i="315"/>
  <c r="M15" i="315"/>
  <c r="M14" i="315"/>
  <c r="M13" i="315"/>
  <c r="M12" i="315"/>
  <c r="M11" i="315"/>
  <c r="M10" i="315"/>
  <c r="M9" i="315"/>
  <c r="M8" i="315"/>
  <c r="M7" i="315"/>
  <c r="M6" i="315"/>
  <c r="M5" i="315"/>
  <c r="I24" i="315"/>
  <c r="I23" i="315"/>
  <c r="I22" i="315"/>
  <c r="I21" i="315"/>
  <c r="I20" i="315"/>
  <c r="I19" i="315"/>
  <c r="I18" i="315"/>
  <c r="I17" i="315"/>
  <c r="I16" i="315"/>
  <c r="I15" i="315"/>
  <c r="I14" i="315"/>
  <c r="I13" i="315"/>
  <c r="I12" i="315"/>
  <c r="I11" i="315"/>
  <c r="I10" i="315"/>
  <c r="I9" i="315"/>
  <c r="I8" i="315"/>
  <c r="I7" i="315"/>
  <c r="I6" i="315"/>
  <c r="I5" i="315"/>
  <c r="E24" i="315"/>
  <c r="E23" i="315"/>
  <c r="E10" i="315"/>
  <c r="E9" i="315"/>
  <c r="E8" i="315"/>
  <c r="E7" i="315"/>
  <c r="E6" i="315"/>
  <c r="E5" i="315"/>
  <c r="P25" i="315"/>
  <c r="O25" i="315"/>
  <c r="N25" i="315"/>
  <c r="L25" i="315"/>
  <c r="K25" i="315"/>
  <c r="J25" i="315"/>
  <c r="H25" i="315"/>
  <c r="G25" i="315"/>
  <c r="F25" i="315"/>
  <c r="D25" i="315"/>
  <c r="C25" i="315"/>
  <c r="B25" i="315"/>
  <c r="Q12" i="314"/>
  <c r="Q11" i="314"/>
  <c r="Q10" i="314"/>
  <c r="Q9" i="314"/>
  <c r="Q8" i="314"/>
  <c r="Q7" i="314"/>
  <c r="Q6" i="314"/>
  <c r="Q5" i="314"/>
  <c r="M12" i="314"/>
  <c r="M11" i="314"/>
  <c r="M10" i="314"/>
  <c r="M9" i="314"/>
  <c r="M8" i="314"/>
  <c r="M7" i="314"/>
  <c r="M6" i="314"/>
  <c r="M5" i="314"/>
  <c r="I12" i="314"/>
  <c r="I11" i="314"/>
  <c r="I10" i="314"/>
  <c r="I9" i="314"/>
  <c r="I8" i="314"/>
  <c r="I7" i="314"/>
  <c r="I6" i="314"/>
  <c r="I5" i="314"/>
  <c r="E12" i="314"/>
  <c r="E11" i="314"/>
  <c r="E10" i="314"/>
  <c r="E9" i="314"/>
  <c r="E8" i="314"/>
  <c r="E7" i="314"/>
  <c r="E6" i="314"/>
  <c r="E5" i="314"/>
  <c r="P13" i="314"/>
  <c r="O13" i="314"/>
  <c r="N13" i="314"/>
  <c r="L13" i="314"/>
  <c r="K13" i="314"/>
  <c r="J13" i="314"/>
  <c r="H13" i="314"/>
  <c r="G13" i="314"/>
  <c r="F13" i="314"/>
  <c r="D13" i="314"/>
  <c r="C13" i="314"/>
  <c r="B13" i="314"/>
  <c r="Q6" i="313"/>
  <c r="Q5" i="313"/>
  <c r="M6" i="313"/>
  <c r="M5" i="313"/>
  <c r="I6" i="313"/>
  <c r="I5" i="313"/>
  <c r="E6" i="313"/>
  <c r="E5" i="313"/>
  <c r="P7" i="313"/>
  <c r="O7" i="313"/>
  <c r="N7" i="313"/>
  <c r="L7" i="313"/>
  <c r="K7" i="313"/>
  <c r="J7" i="313"/>
  <c r="H7" i="313"/>
  <c r="G7" i="313"/>
  <c r="F7" i="313"/>
  <c r="D7" i="313"/>
  <c r="C7" i="313"/>
  <c r="B7" i="313"/>
  <c r="Q7" i="312"/>
  <c r="Q6" i="312"/>
  <c r="Q5" i="312"/>
  <c r="M7" i="312"/>
  <c r="M6" i="312"/>
  <c r="M5" i="312"/>
  <c r="I7" i="312"/>
  <c r="I6" i="312"/>
  <c r="E7" i="312"/>
  <c r="E6" i="312"/>
  <c r="P8" i="312"/>
  <c r="O8" i="312"/>
  <c r="N8" i="312"/>
  <c r="L8" i="312"/>
  <c r="K8" i="312"/>
  <c r="J8" i="312"/>
  <c r="H8" i="312"/>
  <c r="G8" i="312"/>
  <c r="F8" i="312"/>
  <c r="D8" i="312"/>
  <c r="C8" i="312"/>
  <c r="B8" i="312"/>
  <c r="Q7" i="311"/>
  <c r="Q6" i="311"/>
  <c r="Q5" i="311"/>
  <c r="M7" i="311"/>
  <c r="M6" i="311"/>
  <c r="M5" i="311"/>
  <c r="I6" i="311"/>
  <c r="I5" i="311"/>
  <c r="E7" i="311"/>
  <c r="E6" i="311"/>
  <c r="E5" i="311"/>
  <c r="P9" i="311"/>
  <c r="O9" i="311"/>
  <c r="N9" i="311"/>
  <c r="L9" i="311"/>
  <c r="K9" i="311"/>
  <c r="J9" i="311"/>
  <c r="H9" i="311"/>
  <c r="G9" i="311"/>
  <c r="F9" i="311"/>
  <c r="D9" i="311"/>
  <c r="C9" i="311"/>
  <c r="B9" i="311"/>
  <c r="Q12" i="310"/>
  <c r="Q11" i="310"/>
  <c r="Q10" i="310"/>
  <c r="Q9" i="310"/>
  <c r="Q8" i="310"/>
  <c r="Q7" i="310"/>
  <c r="Q6" i="310"/>
  <c r="Q5" i="310"/>
  <c r="M12" i="310"/>
  <c r="M11" i="310"/>
  <c r="M10" i="310"/>
  <c r="M9" i="310"/>
  <c r="M8" i="310"/>
  <c r="M7" i="310"/>
  <c r="M6" i="310"/>
  <c r="M5" i="310"/>
  <c r="I7" i="310"/>
  <c r="I6" i="310"/>
  <c r="I5" i="310"/>
  <c r="E7" i="310"/>
  <c r="E6" i="310"/>
  <c r="E5" i="310"/>
  <c r="P13" i="310"/>
  <c r="O13" i="310"/>
  <c r="N13" i="310"/>
  <c r="L13" i="310"/>
  <c r="K13" i="310"/>
  <c r="J13" i="310"/>
  <c r="H13" i="310"/>
  <c r="G13" i="310"/>
  <c r="F13" i="310"/>
  <c r="D13" i="310"/>
  <c r="C13" i="310"/>
  <c r="B13" i="310"/>
  <c r="Q12" i="308"/>
  <c r="Q11" i="308"/>
  <c r="Q10" i="308"/>
  <c r="Q9" i="308"/>
  <c r="Q8" i="308"/>
  <c r="Q7" i="308"/>
  <c r="Q6" i="308"/>
  <c r="Q5" i="308"/>
  <c r="M12" i="308"/>
  <c r="M11" i="308"/>
  <c r="M10" i="308"/>
  <c r="M9" i="308"/>
  <c r="M8" i="308"/>
  <c r="M7" i="308"/>
  <c r="M6" i="308"/>
  <c r="M5" i="308"/>
  <c r="I12" i="308"/>
  <c r="I11" i="308"/>
  <c r="I10" i="308"/>
  <c r="I9" i="308"/>
  <c r="I8" i="308"/>
  <c r="I7" i="308"/>
  <c r="I6" i="308"/>
  <c r="I5" i="308"/>
  <c r="E12" i="308"/>
  <c r="E11" i="308"/>
  <c r="E10" i="308"/>
  <c r="E9" i="308"/>
  <c r="E8" i="308"/>
  <c r="E7" i="308"/>
  <c r="E6" i="308"/>
  <c r="E5" i="308"/>
  <c r="P13" i="308"/>
  <c r="O13" i="308"/>
  <c r="N13" i="308"/>
  <c r="L13" i="308"/>
  <c r="K13" i="308"/>
  <c r="J13" i="308"/>
  <c r="H13" i="308"/>
  <c r="G13" i="308"/>
  <c r="F13" i="308"/>
  <c r="D13" i="308"/>
  <c r="C13" i="308"/>
  <c r="B13" i="308"/>
  <c r="Q11" i="307"/>
  <c r="Q10" i="307"/>
  <c r="Q9" i="307"/>
  <c r="Q8" i="307"/>
  <c r="Q7" i="307"/>
  <c r="Q6" i="307"/>
  <c r="Q5" i="307"/>
  <c r="M11" i="307"/>
  <c r="M10" i="307"/>
  <c r="M9" i="307"/>
  <c r="M8" i="307"/>
  <c r="M7" i="307"/>
  <c r="M6" i="307"/>
  <c r="M5" i="307"/>
  <c r="I11" i="307"/>
  <c r="I10" i="307"/>
  <c r="I9" i="307"/>
  <c r="I8" i="307"/>
  <c r="I7" i="307"/>
  <c r="I6" i="307"/>
  <c r="I5" i="307"/>
  <c r="E11" i="307"/>
  <c r="E10" i="307"/>
  <c r="E9" i="307"/>
  <c r="E8" i="307"/>
  <c r="E7" i="307"/>
  <c r="E6" i="307"/>
  <c r="E5" i="307"/>
  <c r="P12" i="307"/>
  <c r="O12" i="307"/>
  <c r="N12" i="307"/>
  <c r="L12" i="307"/>
  <c r="K12" i="307"/>
  <c r="J12" i="307"/>
  <c r="H12" i="307"/>
  <c r="G12" i="307"/>
  <c r="F12" i="307"/>
  <c r="D12" i="307"/>
  <c r="C12" i="307"/>
  <c r="B12" i="307"/>
  <c r="Q16" i="306"/>
  <c r="Q15" i="306"/>
  <c r="Q14" i="306"/>
  <c r="Q13" i="306"/>
  <c r="Q12" i="306"/>
  <c r="Q11" i="306"/>
  <c r="Q10" i="306"/>
  <c r="Q9" i="306"/>
  <c r="Q8" i="306"/>
  <c r="Q7" i="306"/>
  <c r="Q6" i="306"/>
  <c r="Q5" i="306"/>
  <c r="M16" i="306"/>
  <c r="M15" i="306"/>
  <c r="M14" i="306"/>
  <c r="M13" i="306"/>
  <c r="M12" i="306"/>
  <c r="M11" i="306"/>
  <c r="M10" i="306"/>
  <c r="M9" i="306"/>
  <c r="M8" i="306"/>
  <c r="M7" i="306"/>
  <c r="M6" i="306"/>
  <c r="M5" i="306"/>
  <c r="I16" i="306"/>
  <c r="I15" i="306"/>
  <c r="I14" i="306"/>
  <c r="I13" i="306"/>
  <c r="I12" i="306"/>
  <c r="I11" i="306"/>
  <c r="I10" i="306"/>
  <c r="I9" i="306"/>
  <c r="I8" i="306"/>
  <c r="I7" i="306"/>
  <c r="I6" i="306"/>
  <c r="I5" i="306"/>
  <c r="E16" i="306"/>
  <c r="E15" i="306"/>
  <c r="E14" i="306"/>
  <c r="E13" i="306"/>
  <c r="E12" i="306"/>
  <c r="E11" i="306"/>
  <c r="E10" i="306"/>
  <c r="E9" i="306"/>
  <c r="E8" i="306"/>
  <c r="E7" i="306"/>
  <c r="E6" i="306"/>
  <c r="E5" i="306"/>
  <c r="P17" i="306"/>
  <c r="O17" i="306"/>
  <c r="N17" i="306"/>
  <c r="L17" i="306"/>
  <c r="K17" i="306"/>
  <c r="J17" i="306"/>
  <c r="H17" i="306"/>
  <c r="G17" i="306"/>
  <c r="F17" i="306"/>
  <c r="D17" i="306"/>
  <c r="C17" i="306"/>
  <c r="B17" i="306"/>
  <c r="Q7" i="281"/>
  <c r="Q6" i="281"/>
  <c r="Q5" i="281"/>
  <c r="M7" i="281"/>
  <c r="M6" i="281"/>
  <c r="M5" i="281"/>
  <c r="I7" i="281"/>
  <c r="I6" i="281"/>
  <c r="I5" i="281"/>
  <c r="E7" i="281"/>
  <c r="E6" i="281"/>
  <c r="E5" i="281"/>
  <c r="P8" i="281"/>
  <c r="O8" i="281"/>
  <c r="N8" i="281"/>
  <c r="L8" i="281"/>
  <c r="K8" i="281"/>
  <c r="J8" i="281"/>
  <c r="H8" i="281"/>
  <c r="G8" i="281"/>
  <c r="F8" i="281"/>
  <c r="D8" i="281"/>
  <c r="C8" i="281"/>
  <c r="B8" i="281"/>
  <c r="Q6" i="305"/>
  <c r="Q5" i="305"/>
  <c r="M6" i="305"/>
  <c r="M5" i="305"/>
  <c r="I6" i="305"/>
  <c r="I5" i="305"/>
  <c r="E6" i="305"/>
  <c r="E5" i="305"/>
  <c r="Q8" i="305"/>
  <c r="M8" i="305"/>
  <c r="I8" i="305"/>
  <c r="E8" i="305"/>
  <c r="Q9" i="304"/>
  <c r="Q8" i="304"/>
  <c r="Q7" i="304"/>
  <c r="Q6" i="304"/>
  <c r="Q5" i="304"/>
  <c r="M9" i="304"/>
  <c r="M8" i="304"/>
  <c r="M7" i="304"/>
  <c r="M6" i="304"/>
  <c r="M5" i="304"/>
  <c r="I8" i="304"/>
  <c r="I7" i="304"/>
  <c r="I6" i="304"/>
  <c r="I5" i="304"/>
  <c r="E8" i="304"/>
  <c r="E7" i="304"/>
  <c r="E6" i="304"/>
  <c r="E5" i="304"/>
  <c r="P10" i="304"/>
  <c r="O10" i="304"/>
  <c r="N10" i="304"/>
  <c r="L10" i="304"/>
  <c r="K10" i="304"/>
  <c r="J10" i="304"/>
  <c r="H10" i="304"/>
  <c r="G10" i="304"/>
  <c r="F10" i="304"/>
  <c r="D10" i="304"/>
  <c r="C10" i="304"/>
  <c r="B10" i="304"/>
  <c r="Q18" i="303"/>
  <c r="Q17" i="303"/>
  <c r="Q16" i="303"/>
  <c r="Q15" i="303"/>
  <c r="Q14" i="303"/>
  <c r="Q13" i="303"/>
  <c r="Q12" i="303"/>
  <c r="Q11" i="303"/>
  <c r="Q10" i="303"/>
  <c r="Q9" i="303"/>
  <c r="Q8" i="303"/>
  <c r="Q7" i="303"/>
  <c r="Q6" i="303"/>
  <c r="Q5" i="303"/>
  <c r="M18" i="303"/>
  <c r="M17" i="303"/>
  <c r="M16" i="303"/>
  <c r="M15" i="303"/>
  <c r="M14" i="303"/>
  <c r="M13" i="303"/>
  <c r="M12" i="303"/>
  <c r="M11" i="303"/>
  <c r="M10" i="303"/>
  <c r="M9" i="303"/>
  <c r="M8" i="303"/>
  <c r="M7" i="303"/>
  <c r="M6" i="303"/>
  <c r="M5" i="303"/>
  <c r="I18" i="303"/>
  <c r="I16" i="303"/>
  <c r="I15" i="303"/>
  <c r="I14" i="303"/>
  <c r="I13" i="303"/>
  <c r="I12" i="303"/>
  <c r="I11" i="303"/>
  <c r="I10" i="303"/>
  <c r="I9" i="303"/>
  <c r="I8" i="303"/>
  <c r="I7" i="303"/>
  <c r="I6" i="303"/>
  <c r="I5" i="303"/>
  <c r="E18" i="303"/>
  <c r="E15" i="303"/>
  <c r="E14" i="303"/>
  <c r="E13" i="303"/>
  <c r="E12" i="303"/>
  <c r="E11" i="303"/>
  <c r="E10" i="303"/>
  <c r="E9" i="303"/>
  <c r="E8" i="303"/>
  <c r="E7" i="303"/>
  <c r="E6" i="303"/>
  <c r="E5" i="303"/>
  <c r="Q21" i="303"/>
  <c r="M21" i="303"/>
  <c r="E21" i="303"/>
  <c r="Q24" i="302"/>
  <c r="Q23" i="302"/>
  <c r="Q22" i="302"/>
  <c r="Q21" i="302"/>
  <c r="Q20" i="302"/>
  <c r="Q19" i="302"/>
  <c r="Q18" i="302"/>
  <c r="Q17" i="302"/>
  <c r="Q16" i="302"/>
  <c r="Q15" i="302"/>
  <c r="Q14" i="302"/>
  <c r="Q13" i="302"/>
  <c r="Q12" i="302"/>
  <c r="Q11" i="302"/>
  <c r="Q10" i="302"/>
  <c r="Q9" i="302"/>
  <c r="Q8" i="302"/>
  <c r="Q7" i="302"/>
  <c r="Q6" i="302"/>
  <c r="Q5" i="302"/>
  <c r="M24" i="302"/>
  <c r="M23" i="302"/>
  <c r="M22" i="302"/>
  <c r="M21" i="302"/>
  <c r="M20" i="302"/>
  <c r="M19" i="302"/>
  <c r="M18" i="302"/>
  <c r="M17" i="302"/>
  <c r="M16" i="302"/>
  <c r="M15" i="302"/>
  <c r="M14" i="302"/>
  <c r="M13" i="302"/>
  <c r="M12" i="302"/>
  <c r="M11" i="302"/>
  <c r="M10" i="302"/>
  <c r="M9" i="302"/>
  <c r="M8" i="302"/>
  <c r="M7" i="302"/>
  <c r="M6" i="302"/>
  <c r="M5" i="302"/>
  <c r="I24" i="302"/>
  <c r="I23" i="302"/>
  <c r="I22" i="302"/>
  <c r="I21" i="302"/>
  <c r="I20" i="302"/>
  <c r="I19" i="302"/>
  <c r="I10" i="302"/>
  <c r="I9" i="302"/>
  <c r="I8" i="302"/>
  <c r="I7" i="302"/>
  <c r="I6" i="302"/>
  <c r="I5" i="302"/>
  <c r="E24" i="302"/>
  <c r="E9" i="302"/>
  <c r="E7" i="302"/>
  <c r="E6" i="302"/>
  <c r="E5" i="302"/>
  <c r="P25" i="302"/>
  <c r="O25" i="302"/>
  <c r="N25" i="302"/>
  <c r="L25" i="302"/>
  <c r="K25" i="302"/>
  <c r="J25" i="302"/>
  <c r="H25" i="302"/>
  <c r="G25" i="302"/>
  <c r="F25" i="302"/>
  <c r="B25" i="302"/>
  <c r="Q12" i="301"/>
  <c r="Q11" i="301"/>
  <c r="Q10" i="301"/>
  <c r="Q9" i="301"/>
  <c r="Q8" i="301"/>
  <c r="Q7" i="301"/>
  <c r="Q6" i="301"/>
  <c r="Q5" i="301"/>
  <c r="M12" i="301"/>
  <c r="M11" i="301"/>
  <c r="M10" i="301"/>
  <c r="M9" i="301"/>
  <c r="M8" i="301"/>
  <c r="M7" i="301"/>
  <c r="M6" i="301"/>
  <c r="M5" i="301"/>
  <c r="I12" i="301"/>
  <c r="I11" i="301"/>
  <c r="I10" i="301"/>
  <c r="I9" i="301"/>
  <c r="I8" i="301"/>
  <c r="I7" i="301"/>
  <c r="I6" i="301"/>
  <c r="I5" i="301"/>
  <c r="E12" i="301"/>
  <c r="E11" i="301"/>
  <c r="E10" i="301"/>
  <c r="E8" i="301"/>
  <c r="E7" i="301"/>
  <c r="E6" i="301"/>
  <c r="E5" i="301"/>
  <c r="P13" i="301"/>
  <c r="O13" i="301"/>
  <c r="N13" i="301"/>
  <c r="L13" i="301"/>
  <c r="K13" i="301"/>
  <c r="J13" i="301"/>
  <c r="H13" i="301"/>
  <c r="G13" i="301"/>
  <c r="F13" i="301"/>
  <c r="D13" i="301"/>
  <c r="C13" i="301"/>
  <c r="B13" i="301"/>
  <c r="Q6" i="300"/>
  <c r="Q5" i="300"/>
  <c r="M6" i="300"/>
  <c r="M5" i="300"/>
  <c r="I6" i="300"/>
  <c r="I5" i="300"/>
  <c r="E6" i="300"/>
  <c r="E5" i="300"/>
  <c r="P7" i="300"/>
  <c r="O7" i="300"/>
  <c r="N7" i="300"/>
  <c r="L7" i="300"/>
  <c r="K7" i="300"/>
  <c r="J7" i="300"/>
  <c r="H7" i="300"/>
  <c r="G7" i="300"/>
  <c r="F7" i="300"/>
  <c r="D7" i="300"/>
  <c r="C7" i="300"/>
  <c r="B7" i="300"/>
  <c r="Q7" i="299"/>
  <c r="Q6" i="299"/>
  <c r="Q5" i="299"/>
  <c r="M7" i="299"/>
  <c r="M6" i="299"/>
  <c r="M5" i="299"/>
  <c r="I7" i="299"/>
  <c r="I6" i="299"/>
  <c r="E7" i="299"/>
  <c r="E6" i="299"/>
  <c r="P8" i="299"/>
  <c r="O8" i="299"/>
  <c r="N8" i="299"/>
  <c r="L8" i="299"/>
  <c r="K8" i="299"/>
  <c r="J8" i="299"/>
  <c r="H8" i="299"/>
  <c r="G8" i="299"/>
  <c r="F8" i="299"/>
  <c r="D8" i="299"/>
  <c r="C8" i="299"/>
  <c r="B8" i="299"/>
  <c r="Q7" i="298"/>
  <c r="Q6" i="298"/>
  <c r="Q5" i="298"/>
  <c r="M7" i="298"/>
  <c r="M6" i="298"/>
  <c r="M5" i="298"/>
  <c r="I7" i="298"/>
  <c r="I6" i="298"/>
  <c r="I5" i="298"/>
  <c r="E6" i="298"/>
  <c r="E5" i="298"/>
  <c r="P9" i="298"/>
  <c r="O9" i="298"/>
  <c r="N9" i="298"/>
  <c r="L9" i="298"/>
  <c r="K9" i="298"/>
  <c r="J9" i="298"/>
  <c r="H9" i="298"/>
  <c r="G9" i="298"/>
  <c r="F9" i="298"/>
  <c r="D9" i="298"/>
  <c r="C9" i="298"/>
  <c r="B9" i="298"/>
  <c r="Q11" i="297"/>
  <c r="Q10" i="297"/>
  <c r="Q8" i="297"/>
  <c r="Q7" i="297"/>
  <c r="Q6" i="297"/>
  <c r="Q5" i="297"/>
  <c r="E6" i="297"/>
  <c r="E5" i="297"/>
  <c r="M8" i="297"/>
  <c r="M10" i="297"/>
  <c r="M11" i="297"/>
  <c r="M7" i="297"/>
  <c r="M6" i="297"/>
  <c r="M5" i="297"/>
  <c r="I7" i="297"/>
  <c r="I6" i="297"/>
  <c r="I5" i="297"/>
  <c r="P13" i="297"/>
  <c r="O13" i="297"/>
  <c r="N13" i="297"/>
  <c r="L13" i="297"/>
  <c r="K13" i="297"/>
  <c r="J13" i="297"/>
  <c r="H13" i="297"/>
  <c r="G13" i="297"/>
  <c r="F13" i="297"/>
  <c r="D13" i="297"/>
  <c r="C13" i="297"/>
  <c r="B13" i="297"/>
  <c r="Q12" i="296"/>
  <c r="Q11" i="296"/>
  <c r="Q10" i="296"/>
  <c r="Q9" i="296"/>
  <c r="Q8" i="296"/>
  <c r="Q7" i="296"/>
  <c r="Q6" i="296"/>
  <c r="Q5" i="296"/>
  <c r="M12" i="296"/>
  <c r="M11" i="296"/>
  <c r="M10" i="296"/>
  <c r="M9" i="296"/>
  <c r="M8" i="296"/>
  <c r="M7" i="296"/>
  <c r="M6" i="296"/>
  <c r="M5" i="296"/>
  <c r="I12" i="296"/>
  <c r="I11" i="296"/>
  <c r="I10" i="296"/>
  <c r="I9" i="296"/>
  <c r="I8" i="296"/>
  <c r="I7" i="296"/>
  <c r="I6" i="296"/>
  <c r="I5" i="296"/>
  <c r="E12" i="296"/>
  <c r="E11" i="296"/>
  <c r="E10" i="296"/>
  <c r="E8" i="296"/>
  <c r="E7" i="296"/>
  <c r="E6" i="296"/>
  <c r="E5" i="296"/>
  <c r="P13" i="296"/>
  <c r="O13" i="296"/>
  <c r="N13" i="296"/>
  <c r="L13" i="296"/>
  <c r="K13" i="296"/>
  <c r="J13" i="296"/>
  <c r="H13" i="296"/>
  <c r="G13" i="296"/>
  <c r="F13" i="296"/>
  <c r="D13" i="296"/>
  <c r="C13" i="296"/>
  <c r="B13" i="296"/>
  <c r="Q11" i="295"/>
  <c r="Q10" i="295"/>
  <c r="Q9" i="295"/>
  <c r="Q8" i="295"/>
  <c r="Q7" i="295"/>
  <c r="Q6" i="295"/>
  <c r="Q5" i="295"/>
  <c r="M11" i="295"/>
  <c r="M10" i="295"/>
  <c r="M9" i="295"/>
  <c r="M8" i="295"/>
  <c r="M7" i="295"/>
  <c r="M6" i="295"/>
  <c r="M5" i="295"/>
  <c r="I11" i="295"/>
  <c r="I10" i="295"/>
  <c r="I9" i="295"/>
  <c r="I8" i="295"/>
  <c r="I7" i="295"/>
  <c r="I6" i="295"/>
  <c r="I5" i="295"/>
  <c r="E11" i="295"/>
  <c r="E10" i="295"/>
  <c r="E9" i="295"/>
  <c r="E8" i="295"/>
  <c r="E7" i="295"/>
  <c r="E6" i="295"/>
  <c r="E5" i="295"/>
  <c r="P12" i="295"/>
  <c r="O12" i="295"/>
  <c r="N12" i="295"/>
  <c r="L12" i="295"/>
  <c r="K12" i="295"/>
  <c r="J12" i="295"/>
  <c r="H12" i="295"/>
  <c r="G12" i="295"/>
  <c r="F12" i="295"/>
  <c r="D12" i="295"/>
  <c r="C12" i="295"/>
  <c r="B12" i="295"/>
  <c r="Q16" i="294"/>
  <c r="Q15" i="294"/>
  <c r="Q14" i="294"/>
  <c r="Q13" i="294"/>
  <c r="Q12" i="294"/>
  <c r="Q11" i="294"/>
  <c r="Q10" i="294"/>
  <c r="Q9" i="294"/>
  <c r="Q8" i="294"/>
  <c r="Q7" i="294"/>
  <c r="Q6" i="294"/>
  <c r="Q5" i="294"/>
  <c r="M16" i="294"/>
  <c r="M15" i="294"/>
  <c r="M14" i="294"/>
  <c r="M13" i="294"/>
  <c r="M12" i="294"/>
  <c r="M11" i="294"/>
  <c r="M10" i="294"/>
  <c r="M9" i="294"/>
  <c r="M8" i="294"/>
  <c r="M7" i="294"/>
  <c r="M6" i="294"/>
  <c r="M5" i="294"/>
  <c r="I16" i="294"/>
  <c r="I15" i="294"/>
  <c r="I14" i="294"/>
  <c r="I13" i="294"/>
  <c r="I12" i="294"/>
  <c r="I11" i="294"/>
  <c r="I10" i="294"/>
  <c r="I9" i="294"/>
  <c r="I8" i="294"/>
  <c r="I7" i="294"/>
  <c r="I6" i="294"/>
  <c r="I5" i="294"/>
  <c r="E16" i="294"/>
  <c r="E15" i="294"/>
  <c r="E14" i="294"/>
  <c r="E13" i="294"/>
  <c r="E12" i="294"/>
  <c r="E10" i="294"/>
  <c r="E9" i="294"/>
  <c r="E8" i="294"/>
  <c r="E7" i="294"/>
  <c r="E6" i="294"/>
  <c r="P17" i="294"/>
  <c r="O17" i="294"/>
  <c r="N17" i="294"/>
  <c r="L17" i="294"/>
  <c r="K17" i="294"/>
  <c r="J17" i="294"/>
  <c r="H17" i="294"/>
  <c r="G17" i="294"/>
  <c r="F17" i="294"/>
  <c r="D17" i="294"/>
  <c r="C17" i="294"/>
  <c r="B17" i="294"/>
  <c r="Q7" i="279"/>
  <c r="Q6" i="279"/>
  <c r="Q5" i="279"/>
  <c r="M7" i="279"/>
  <c r="M6" i="279"/>
  <c r="M5" i="279"/>
  <c r="I7" i="279"/>
  <c r="I6" i="279"/>
  <c r="I5" i="279"/>
  <c r="E7" i="279"/>
  <c r="E5" i="279"/>
  <c r="P8" i="279"/>
  <c r="O8" i="279"/>
  <c r="N8" i="279"/>
  <c r="L8" i="279"/>
  <c r="K8" i="279"/>
  <c r="J8" i="279"/>
  <c r="H8" i="279"/>
  <c r="G8" i="279"/>
  <c r="F8" i="279"/>
  <c r="D8" i="279"/>
  <c r="C8" i="279"/>
  <c r="B8" i="279"/>
  <c r="Q6" i="290"/>
  <c r="Q5" i="290"/>
  <c r="M6" i="290"/>
  <c r="M5" i="290"/>
  <c r="I6" i="290"/>
  <c r="I5" i="290"/>
  <c r="E6" i="290"/>
  <c r="E5" i="290"/>
  <c r="P7" i="290"/>
  <c r="O7" i="290"/>
  <c r="N7" i="290"/>
  <c r="L7" i="290"/>
  <c r="K7" i="290"/>
  <c r="J7" i="290"/>
  <c r="H7" i="290"/>
  <c r="G7" i="290"/>
  <c r="F7" i="290"/>
  <c r="D7" i="290"/>
  <c r="C7" i="290"/>
  <c r="B7" i="290"/>
  <c r="Q17" i="291"/>
  <c r="Q16" i="291"/>
  <c r="Q15" i="291"/>
  <c r="Q14" i="291"/>
  <c r="Q13" i="291"/>
  <c r="Q12" i="291"/>
  <c r="Q11" i="291"/>
  <c r="Q10" i="291"/>
  <c r="Q9" i="291"/>
  <c r="Q8" i="291"/>
  <c r="Q7" i="291"/>
  <c r="Q6" i="291"/>
  <c r="Q5" i="291"/>
  <c r="M17" i="291"/>
  <c r="M16" i="291"/>
  <c r="M15" i="291"/>
  <c r="M14" i="291"/>
  <c r="M13" i="291"/>
  <c r="M12" i="291"/>
  <c r="M11" i="291"/>
  <c r="M10" i="291"/>
  <c r="M9" i="291"/>
  <c r="M8" i="291"/>
  <c r="M7" i="291"/>
  <c r="M6" i="291"/>
  <c r="M5" i="291"/>
  <c r="I16" i="291"/>
  <c r="I15" i="291"/>
  <c r="I14" i="291"/>
  <c r="I13" i="291"/>
  <c r="I12" i="291"/>
  <c r="I11" i="291"/>
  <c r="I10" i="291"/>
  <c r="I9" i="291"/>
  <c r="I8" i="291"/>
  <c r="I7" i="291"/>
  <c r="I6" i="291"/>
  <c r="I5" i="291"/>
  <c r="E13" i="291"/>
  <c r="E12" i="291"/>
  <c r="E11" i="291"/>
  <c r="E8" i="291"/>
  <c r="E7" i="291"/>
  <c r="E6" i="291"/>
  <c r="E5" i="291"/>
  <c r="P18" i="291"/>
  <c r="O18" i="291"/>
  <c r="N18" i="291"/>
  <c r="L18" i="291"/>
  <c r="K18" i="291"/>
  <c r="J18" i="291"/>
  <c r="H18" i="291"/>
  <c r="G18" i="291"/>
  <c r="F18" i="291"/>
  <c r="D18" i="291"/>
  <c r="C18" i="291"/>
  <c r="B18" i="291"/>
  <c r="Q24" i="289"/>
  <c r="Q23" i="289"/>
  <c r="Q22" i="289"/>
  <c r="Q21" i="289"/>
  <c r="Q20" i="289"/>
  <c r="Q19" i="289"/>
  <c r="Q18" i="289"/>
  <c r="Q17" i="289"/>
  <c r="Q16" i="289"/>
  <c r="Q15" i="289"/>
  <c r="Q14" i="289"/>
  <c r="Q13" i="289"/>
  <c r="Q12" i="289"/>
  <c r="Q10" i="289"/>
  <c r="Q9" i="289"/>
  <c r="Q8" i="289"/>
  <c r="Q7" i="289"/>
  <c r="Q6" i="289"/>
  <c r="Q5" i="289"/>
  <c r="M24" i="289"/>
  <c r="M23" i="289"/>
  <c r="M22" i="289"/>
  <c r="M21" i="289"/>
  <c r="M20" i="289"/>
  <c r="M19" i="289"/>
  <c r="M18" i="289"/>
  <c r="M17" i="289"/>
  <c r="M16" i="289"/>
  <c r="M15" i="289"/>
  <c r="M14" i="289"/>
  <c r="M13" i="289"/>
  <c r="M12" i="289"/>
  <c r="M10" i="289"/>
  <c r="M9" i="289"/>
  <c r="M8" i="289"/>
  <c r="M7" i="289"/>
  <c r="M6" i="289"/>
  <c r="M5" i="289"/>
  <c r="I24" i="289"/>
  <c r="I23" i="289"/>
  <c r="I22" i="289"/>
  <c r="I21" i="289"/>
  <c r="I7" i="289"/>
  <c r="I5" i="289"/>
  <c r="E15" i="289"/>
  <c r="E14" i="289"/>
  <c r="E5" i="289"/>
  <c r="L25" i="289"/>
  <c r="K25" i="289"/>
  <c r="J25" i="289"/>
  <c r="H25" i="289"/>
  <c r="G25" i="289"/>
  <c r="F25" i="289"/>
  <c r="D25" i="289"/>
  <c r="C25" i="289"/>
  <c r="B25" i="289"/>
  <c r="Q12" i="288"/>
  <c r="Q10" i="288"/>
  <c r="Q9" i="288"/>
  <c r="Q8" i="288"/>
  <c r="Q7" i="288"/>
  <c r="Q6" i="288"/>
  <c r="Q5" i="288"/>
  <c r="M12" i="288"/>
  <c r="M10" i="288"/>
  <c r="M9" i="288"/>
  <c r="M8" i="288"/>
  <c r="M7" i="288"/>
  <c r="M6" i="288"/>
  <c r="M5" i="288"/>
  <c r="I12" i="288"/>
  <c r="I8" i="288"/>
  <c r="I6" i="288"/>
  <c r="I5" i="288"/>
  <c r="E9" i="288"/>
  <c r="E8" i="288"/>
  <c r="E7" i="288"/>
  <c r="E5" i="288"/>
  <c r="L13" i="288"/>
  <c r="K13" i="288"/>
  <c r="J13" i="288"/>
  <c r="H13" i="288"/>
  <c r="G13" i="288"/>
  <c r="F13" i="288"/>
  <c r="D13" i="288"/>
  <c r="C13" i="288"/>
  <c r="B13" i="288"/>
  <c r="Q6" i="287"/>
  <c r="Q5" i="287"/>
  <c r="M6" i="287"/>
  <c r="M5" i="287"/>
  <c r="I6" i="287"/>
  <c r="I5" i="287"/>
  <c r="E6" i="287"/>
  <c r="E5" i="287"/>
  <c r="P7" i="287"/>
  <c r="O7" i="287"/>
  <c r="N7" i="287"/>
  <c r="L7" i="287"/>
  <c r="K7" i="287"/>
  <c r="J7" i="287"/>
  <c r="H7" i="287"/>
  <c r="G7" i="287"/>
  <c r="F7" i="287"/>
  <c r="D7" i="287"/>
  <c r="C7" i="287"/>
  <c r="B7" i="287"/>
  <c r="Q7" i="286"/>
  <c r="Q6" i="286"/>
  <c r="Q5" i="286"/>
  <c r="M7" i="286"/>
  <c r="M6" i="286"/>
  <c r="M5" i="286"/>
  <c r="I7" i="286"/>
  <c r="I6" i="286"/>
  <c r="I5" i="286"/>
  <c r="E7" i="286"/>
  <c r="E5" i="286"/>
  <c r="P9" i="286"/>
  <c r="O9" i="286"/>
  <c r="N9" i="286"/>
  <c r="L9" i="286"/>
  <c r="K9" i="286"/>
  <c r="J9" i="286"/>
  <c r="H9" i="286"/>
  <c r="G9" i="286"/>
  <c r="F9" i="286"/>
  <c r="D9" i="286"/>
  <c r="C9" i="286"/>
  <c r="B9" i="286"/>
  <c r="M11" i="285"/>
  <c r="Q11" i="285"/>
  <c r="Q7" i="285"/>
  <c r="Q6" i="285"/>
  <c r="Q5" i="285"/>
  <c r="M8" i="285"/>
  <c r="M7" i="285"/>
  <c r="M6" i="285"/>
  <c r="M5" i="285"/>
  <c r="I6" i="285"/>
  <c r="I5" i="285"/>
  <c r="E6" i="285"/>
  <c r="E5" i="285"/>
  <c r="P12" i="285"/>
  <c r="O12" i="285"/>
  <c r="N12" i="285"/>
  <c r="L12" i="285"/>
  <c r="K12" i="285"/>
  <c r="J12" i="285"/>
  <c r="H12" i="285"/>
  <c r="G12" i="285"/>
  <c r="F12" i="285"/>
  <c r="D12" i="285"/>
  <c r="C12" i="285"/>
  <c r="B12" i="285"/>
  <c r="Q12" i="284"/>
  <c r="Q11" i="284"/>
  <c r="Q10" i="284"/>
  <c r="Q9" i="284"/>
  <c r="Q8" i="284"/>
  <c r="Q7" i="284"/>
  <c r="Q5" i="284"/>
  <c r="M12" i="284"/>
  <c r="M11" i="284"/>
  <c r="M10" i="284"/>
  <c r="M9" i="284"/>
  <c r="M8" i="284"/>
  <c r="M7" i="284"/>
  <c r="M6" i="284"/>
  <c r="M5" i="284"/>
  <c r="I12" i="284"/>
  <c r="I11" i="284"/>
  <c r="I10" i="284"/>
  <c r="I9" i="284"/>
  <c r="I8" i="284"/>
  <c r="I7" i="284"/>
  <c r="I6" i="284"/>
  <c r="I5" i="284"/>
  <c r="E12" i="284"/>
  <c r="E11" i="284"/>
  <c r="E10" i="284"/>
  <c r="E9" i="284"/>
  <c r="E8" i="284"/>
  <c r="E7" i="284"/>
  <c r="E5" i="284"/>
  <c r="P13" i="284"/>
  <c r="O13" i="284"/>
  <c r="N13" i="284"/>
  <c r="L13" i="284"/>
  <c r="K13" i="284"/>
  <c r="J13" i="284"/>
  <c r="H13" i="284"/>
  <c r="G13" i="284"/>
  <c r="F13" i="284"/>
  <c r="D13" i="284"/>
  <c r="C13" i="284"/>
  <c r="B13" i="284"/>
  <c r="Q11" i="293"/>
  <c r="Q10" i="293"/>
  <c r="Q9" i="293"/>
  <c r="Q8" i="293"/>
  <c r="Q7" i="293"/>
  <c r="Q6" i="293"/>
  <c r="Q5" i="293"/>
  <c r="M11" i="293"/>
  <c r="M10" i="293"/>
  <c r="M9" i="293"/>
  <c r="M8" i="293"/>
  <c r="M7" i="293"/>
  <c r="M6" i="293"/>
  <c r="M5" i="293"/>
  <c r="I11" i="293"/>
  <c r="I10" i="293"/>
  <c r="I9" i="293"/>
  <c r="I8" i="293"/>
  <c r="I7" i="293"/>
  <c r="I6" i="293"/>
  <c r="I5" i="293"/>
  <c r="E11" i="293"/>
  <c r="E9" i="293"/>
  <c r="E8" i="293"/>
  <c r="E7" i="293"/>
  <c r="E6" i="293"/>
  <c r="E5" i="293"/>
  <c r="P12" i="293"/>
  <c r="O12" i="293"/>
  <c r="N12" i="293"/>
  <c r="L12" i="293"/>
  <c r="K12" i="293"/>
  <c r="J12" i="293"/>
  <c r="H12" i="293"/>
  <c r="G12" i="293"/>
  <c r="F12" i="293"/>
  <c r="D12" i="293"/>
  <c r="C12" i="293"/>
  <c r="B12" i="293"/>
  <c r="Q16" i="283"/>
  <c r="Q15" i="283"/>
  <c r="Q14" i="283"/>
  <c r="Q13" i="283"/>
  <c r="Q12" i="283"/>
  <c r="Q11" i="283"/>
  <c r="Q10" i="283"/>
  <c r="Q9" i="283"/>
  <c r="Q8" i="283"/>
  <c r="Q7" i="283"/>
  <c r="Q6" i="283"/>
  <c r="Q5" i="283"/>
  <c r="M16" i="283"/>
  <c r="M15" i="283"/>
  <c r="M14" i="283"/>
  <c r="M13" i="283"/>
  <c r="M12" i="283"/>
  <c r="M11" i="283"/>
  <c r="M10" i="283"/>
  <c r="M9" i="283"/>
  <c r="M8" i="283"/>
  <c r="M7" i="283"/>
  <c r="M6" i="283"/>
  <c r="M5" i="283"/>
  <c r="I16" i="283"/>
  <c r="I15" i="283"/>
  <c r="I14" i="283"/>
  <c r="I13" i="283"/>
  <c r="I12" i="283"/>
  <c r="I11" i="283"/>
  <c r="I10" i="283"/>
  <c r="I9" i="283"/>
  <c r="I8" i="283"/>
  <c r="I7" i="283"/>
  <c r="I6" i="283"/>
  <c r="I5" i="283"/>
  <c r="E16" i="283"/>
  <c r="E14" i="283"/>
  <c r="E13" i="283"/>
  <c r="E12" i="283"/>
  <c r="E11" i="283"/>
  <c r="E10" i="283"/>
  <c r="E9" i="283"/>
  <c r="E8" i="283"/>
  <c r="E7" i="283"/>
  <c r="E6" i="283"/>
  <c r="E5" i="283"/>
  <c r="P17" i="283"/>
  <c r="O17" i="283"/>
  <c r="N17" i="283"/>
  <c r="L17" i="283"/>
  <c r="K17" i="283"/>
  <c r="J17" i="283"/>
  <c r="H17" i="283"/>
  <c r="G17" i="283"/>
  <c r="F17" i="283"/>
  <c r="D17" i="283"/>
  <c r="C17" i="283"/>
  <c r="B17" i="283"/>
  <c r="Q7" i="277"/>
  <c r="Q6" i="277"/>
  <c r="Q5" i="277"/>
  <c r="M7" i="277"/>
  <c r="M6" i="277"/>
  <c r="M5" i="277"/>
  <c r="I7" i="277"/>
  <c r="I6" i="277"/>
  <c r="I5" i="277"/>
  <c r="E7" i="277"/>
  <c r="E6" i="277"/>
  <c r="E5" i="277"/>
  <c r="P8" i="277"/>
  <c r="O8" i="277"/>
  <c r="N8" i="277"/>
  <c r="L8" i="277"/>
  <c r="K8" i="277"/>
  <c r="J8" i="277"/>
  <c r="H8" i="277"/>
  <c r="G8" i="277"/>
  <c r="F8" i="277"/>
  <c r="D8" i="277"/>
  <c r="C8" i="277"/>
  <c r="B8" i="277"/>
  <c r="D18" i="276"/>
  <c r="D17" i="276"/>
  <c r="D16" i="276"/>
  <c r="D15" i="276"/>
  <c r="D14" i="276"/>
  <c r="D13" i="276"/>
  <c r="D12" i="276"/>
  <c r="D11" i="276"/>
  <c r="D10" i="276"/>
  <c r="D9" i="276"/>
  <c r="D8" i="276"/>
  <c r="D7" i="276"/>
  <c r="D6" i="276"/>
  <c r="D5" i="276"/>
  <c r="M20" i="275"/>
  <c r="M18" i="275"/>
  <c r="M17" i="275"/>
  <c r="M16" i="275"/>
  <c r="M15" i="275"/>
  <c r="M14" i="275"/>
  <c r="M13" i="275"/>
  <c r="M12" i="275"/>
  <c r="M11" i="275"/>
  <c r="M10" i="275"/>
  <c r="M9" i="275"/>
  <c r="M8" i="275"/>
  <c r="M7" i="275"/>
  <c r="M6" i="275"/>
  <c r="M5" i="275"/>
  <c r="I17" i="275"/>
  <c r="I16" i="275"/>
  <c r="I15" i="275"/>
  <c r="I14" i="275"/>
  <c r="I13" i="275"/>
  <c r="I12" i="275"/>
  <c r="I11" i="275"/>
  <c r="I10" i="275"/>
  <c r="I9" i="275"/>
  <c r="I8" i="275"/>
  <c r="I7" i="275"/>
  <c r="I6" i="275"/>
  <c r="I5" i="275"/>
  <c r="E18" i="275"/>
  <c r="E17" i="275"/>
  <c r="E16" i="275"/>
  <c r="E15" i="275"/>
  <c r="E14" i="275"/>
  <c r="E13" i="275"/>
  <c r="E12" i="275"/>
  <c r="E11" i="275"/>
  <c r="E10" i="275"/>
  <c r="E9" i="275"/>
  <c r="E8" i="275"/>
  <c r="E7" i="275"/>
  <c r="E6" i="275"/>
  <c r="E5" i="275"/>
  <c r="L21" i="275"/>
  <c r="K21" i="275"/>
  <c r="J21" i="275"/>
  <c r="H21" i="275"/>
  <c r="G21" i="275"/>
  <c r="F21" i="275"/>
  <c r="D21" i="275"/>
  <c r="C21" i="275"/>
  <c r="B21" i="275"/>
  <c r="M7" i="274"/>
  <c r="M5" i="274"/>
  <c r="I5" i="274"/>
  <c r="E5" i="274"/>
  <c r="M8" i="274"/>
  <c r="I8" i="274"/>
  <c r="E8" i="274"/>
  <c r="W15" i="272"/>
  <c r="V15" i="272"/>
  <c r="U15" i="272"/>
  <c r="T15" i="272"/>
  <c r="S15" i="272"/>
  <c r="R15" i="272"/>
  <c r="W14" i="272"/>
  <c r="V14" i="272"/>
  <c r="U14" i="272"/>
  <c r="T14" i="272"/>
  <c r="S14" i="272"/>
  <c r="R14" i="272"/>
  <c r="W13" i="272"/>
  <c r="V13" i="272"/>
  <c r="U13" i="272"/>
  <c r="T13" i="272"/>
  <c r="S13" i="272"/>
  <c r="R13" i="272"/>
  <c r="W12" i="272"/>
  <c r="V12" i="272"/>
  <c r="U12" i="272"/>
  <c r="T12" i="272"/>
  <c r="S12" i="272"/>
  <c r="R12" i="272"/>
  <c r="W11" i="272"/>
  <c r="V11" i="272"/>
  <c r="U11" i="272"/>
  <c r="T11" i="272"/>
  <c r="S11" i="272"/>
  <c r="R11" i="272"/>
  <c r="W10" i="272"/>
  <c r="V10" i="272"/>
  <c r="U10" i="272"/>
  <c r="T10" i="272"/>
  <c r="S10" i="272"/>
  <c r="R10" i="272"/>
  <c r="W9" i="272"/>
  <c r="V9" i="272"/>
  <c r="U9" i="272"/>
  <c r="T9" i="272"/>
  <c r="S9" i="272"/>
  <c r="R9" i="272"/>
  <c r="W8" i="272"/>
  <c r="V8" i="272"/>
  <c r="U8" i="272"/>
  <c r="T8" i="272"/>
  <c r="S8" i="272"/>
  <c r="R8" i="272"/>
  <c r="W7" i="272"/>
  <c r="V7" i="272"/>
  <c r="U7" i="272"/>
  <c r="T7" i="272"/>
  <c r="S7" i="272"/>
  <c r="R7" i="272"/>
  <c r="W6" i="272"/>
  <c r="V6" i="272"/>
  <c r="U6" i="272"/>
  <c r="T6" i="272"/>
  <c r="S6" i="272"/>
  <c r="R6" i="272"/>
  <c r="W5" i="272"/>
  <c r="V5" i="272"/>
  <c r="U5" i="272"/>
  <c r="T5" i="272"/>
  <c r="S5" i="272"/>
  <c r="R5" i="272"/>
  <c r="Q15" i="272"/>
  <c r="Q14" i="272"/>
  <c r="Q13" i="272"/>
  <c r="Q12" i="272"/>
  <c r="Q11" i="272"/>
  <c r="Q10" i="272"/>
  <c r="Q9" i="272"/>
  <c r="Q8" i="272"/>
  <c r="Q7" i="272"/>
  <c r="Q6" i="272"/>
  <c r="Q5" i="272"/>
  <c r="M15" i="272"/>
  <c r="M14" i="272"/>
  <c r="M13" i="272"/>
  <c r="M12" i="272"/>
  <c r="M11" i="272"/>
  <c r="M10" i="272"/>
  <c r="M9" i="272"/>
  <c r="M8" i="272"/>
  <c r="M7" i="272"/>
  <c r="M6" i="272"/>
  <c r="M5" i="272"/>
  <c r="I15" i="272"/>
  <c r="I14" i="272"/>
  <c r="I13" i="272"/>
  <c r="I12" i="272"/>
  <c r="I11" i="272"/>
  <c r="I10" i="272"/>
  <c r="I9" i="272"/>
  <c r="I8" i="272"/>
  <c r="I7" i="272"/>
  <c r="I6" i="272"/>
  <c r="I5" i="272"/>
  <c r="E14" i="272"/>
  <c r="E12" i="272"/>
  <c r="E11" i="272"/>
  <c r="E10" i="272"/>
  <c r="E9" i="272"/>
  <c r="E8" i="272"/>
  <c r="E7" i="272"/>
  <c r="E6" i="272"/>
  <c r="E5" i="272"/>
  <c r="P16" i="272"/>
  <c r="O16" i="272"/>
  <c r="N16" i="272"/>
  <c r="L16" i="272"/>
  <c r="K16" i="272"/>
  <c r="J16" i="272"/>
  <c r="H16" i="272"/>
  <c r="G16" i="272"/>
  <c r="F16" i="272"/>
  <c r="D16" i="272"/>
  <c r="C16" i="272"/>
  <c r="B16" i="272"/>
  <c r="Q7" i="271"/>
  <c r="Q6" i="271"/>
  <c r="Q5" i="271"/>
  <c r="M7" i="271"/>
  <c r="M6" i="271"/>
  <c r="M5" i="271"/>
  <c r="I7" i="271"/>
  <c r="I6" i="271"/>
  <c r="I5" i="271"/>
  <c r="E7" i="271"/>
  <c r="E6" i="271"/>
  <c r="E5" i="271"/>
  <c r="W7" i="271"/>
  <c r="V7" i="271"/>
  <c r="U7" i="271"/>
  <c r="W6" i="271"/>
  <c r="V6" i="271"/>
  <c r="U6" i="271"/>
  <c r="W5" i="271"/>
  <c r="V5" i="271"/>
  <c r="U5" i="271"/>
  <c r="T7" i="271"/>
  <c r="S7" i="271"/>
  <c r="R7" i="271"/>
  <c r="T6" i="271"/>
  <c r="S6" i="271"/>
  <c r="R6" i="271"/>
  <c r="T5" i="271"/>
  <c r="S5" i="271"/>
  <c r="R5" i="271"/>
  <c r="P8" i="271"/>
  <c r="O8" i="271"/>
  <c r="N8" i="271"/>
  <c r="L8" i="271"/>
  <c r="K8" i="271"/>
  <c r="J8" i="271"/>
  <c r="H8" i="271"/>
  <c r="G8" i="271"/>
  <c r="F8" i="271"/>
  <c r="D8" i="271"/>
  <c r="C8" i="271"/>
  <c r="B8" i="271"/>
  <c r="Q9" i="269"/>
  <c r="P9" i="269"/>
  <c r="O9" i="269"/>
  <c r="M14" i="269"/>
  <c r="L14" i="269"/>
  <c r="K14" i="269"/>
  <c r="M9" i="269"/>
  <c r="L9" i="269"/>
  <c r="K9" i="269"/>
  <c r="I14" i="269"/>
  <c r="H14" i="269"/>
  <c r="G14" i="269"/>
  <c r="I9" i="269"/>
  <c r="H9" i="269"/>
  <c r="G9" i="269"/>
  <c r="E14" i="269"/>
  <c r="D14" i="269"/>
  <c r="D23" i="269" s="1"/>
  <c r="C14" i="269"/>
  <c r="E9" i="269"/>
  <c r="D9" i="269"/>
  <c r="C9" i="269"/>
  <c r="Q22" i="268"/>
  <c r="Q21" i="268"/>
  <c r="Q20" i="268"/>
  <c r="Q19" i="268"/>
  <c r="Q18" i="268"/>
  <c r="Q17" i="268"/>
  <c r="Q16" i="268"/>
  <c r="Q15" i="268"/>
  <c r="Q14" i="268"/>
  <c r="Q13" i="268"/>
  <c r="Q12" i="268"/>
  <c r="Q11" i="268"/>
  <c r="Q10" i="268"/>
  <c r="Q9" i="268"/>
  <c r="Q8" i="268"/>
  <c r="Q7" i="268"/>
  <c r="Q6" i="268"/>
  <c r="Q5" i="268"/>
  <c r="M22" i="268"/>
  <c r="M21" i="268"/>
  <c r="M20" i="268"/>
  <c r="M19" i="268"/>
  <c r="M18" i="268"/>
  <c r="M17" i="268"/>
  <c r="M16" i="268"/>
  <c r="M15" i="268"/>
  <c r="M14" i="268"/>
  <c r="M13" i="268"/>
  <c r="M12" i="268"/>
  <c r="M11" i="268"/>
  <c r="M10" i="268"/>
  <c r="M9" i="268"/>
  <c r="M8" i="268"/>
  <c r="M7" i="268"/>
  <c r="M6" i="268"/>
  <c r="M5" i="268"/>
  <c r="I22" i="268"/>
  <c r="I21" i="268"/>
  <c r="I20" i="268"/>
  <c r="I19" i="268"/>
  <c r="I18" i="268"/>
  <c r="I17" i="268"/>
  <c r="I16" i="268"/>
  <c r="I15" i="268"/>
  <c r="I14" i="268"/>
  <c r="I13" i="268"/>
  <c r="I12" i="268"/>
  <c r="I11" i="268"/>
  <c r="I10" i="268"/>
  <c r="I9" i="268"/>
  <c r="I8" i="268"/>
  <c r="I7" i="268"/>
  <c r="I6" i="268"/>
  <c r="I5" i="268"/>
  <c r="E22" i="268"/>
  <c r="E21" i="268"/>
  <c r="E20" i="268"/>
  <c r="E19" i="268"/>
  <c r="E18" i="268"/>
  <c r="E17" i="268"/>
  <c r="E16" i="268"/>
  <c r="E15" i="268"/>
  <c r="E14" i="268"/>
  <c r="E13" i="268"/>
  <c r="E12" i="268"/>
  <c r="E11" i="268"/>
  <c r="E10" i="268"/>
  <c r="E9" i="268"/>
  <c r="E8" i="268"/>
  <c r="E7" i="268"/>
  <c r="E6" i="268"/>
  <c r="E5" i="268"/>
  <c r="P25" i="268"/>
  <c r="O25" i="268"/>
  <c r="N25" i="268"/>
  <c r="L25" i="268"/>
  <c r="K25" i="268"/>
  <c r="J25" i="268"/>
  <c r="H25" i="268"/>
  <c r="G25" i="268"/>
  <c r="F25" i="268"/>
  <c r="D25" i="268"/>
  <c r="C25" i="268"/>
  <c r="B25" i="268"/>
  <c r="Q12" i="267"/>
  <c r="Q11" i="267"/>
  <c r="Q10" i="267"/>
  <c r="Q9" i="267"/>
  <c r="Q8" i="267"/>
  <c r="Q7" i="267"/>
  <c r="Q6" i="267"/>
  <c r="Q5" i="267"/>
  <c r="M12" i="267"/>
  <c r="M11" i="267"/>
  <c r="M10" i="267"/>
  <c r="M9" i="267"/>
  <c r="M8" i="267"/>
  <c r="M7" i="267"/>
  <c r="M6" i="267"/>
  <c r="M5" i="267"/>
  <c r="I12" i="267"/>
  <c r="I11" i="267"/>
  <c r="I10" i="267"/>
  <c r="I9" i="267"/>
  <c r="I8" i="267"/>
  <c r="I7" i="267"/>
  <c r="I6" i="267"/>
  <c r="I5" i="267"/>
  <c r="E12" i="267"/>
  <c r="E11" i="267"/>
  <c r="E10" i="267"/>
  <c r="E9" i="267"/>
  <c r="E8" i="267"/>
  <c r="E7" i="267"/>
  <c r="E6" i="267"/>
  <c r="E5" i="267"/>
  <c r="P13" i="267"/>
  <c r="O13" i="267"/>
  <c r="N13" i="267"/>
  <c r="L13" i="267"/>
  <c r="K13" i="267"/>
  <c r="J13" i="267"/>
  <c r="H13" i="267"/>
  <c r="G13" i="267"/>
  <c r="F13" i="267"/>
  <c r="D13" i="267"/>
  <c r="C13" i="267"/>
  <c r="B13" i="267"/>
  <c r="M6" i="266"/>
  <c r="M5" i="266"/>
  <c r="I6" i="266"/>
  <c r="I5" i="266"/>
  <c r="E6" i="266"/>
  <c r="E5" i="266"/>
  <c r="P7" i="266"/>
  <c r="O7" i="266"/>
  <c r="N7" i="266"/>
  <c r="L7" i="266"/>
  <c r="K7" i="266"/>
  <c r="J7" i="266"/>
  <c r="H7" i="266"/>
  <c r="G7" i="266"/>
  <c r="F7" i="266"/>
  <c r="D7" i="266"/>
  <c r="C7" i="266"/>
  <c r="B7" i="266"/>
  <c r="Q16" i="262"/>
  <c r="P16" i="262"/>
  <c r="O16" i="262"/>
  <c r="M16" i="262"/>
  <c r="L16" i="262"/>
  <c r="K16" i="262"/>
  <c r="I16" i="262"/>
  <c r="H16" i="262"/>
  <c r="G16" i="262"/>
  <c r="E16" i="262"/>
  <c r="D16" i="262"/>
  <c r="C16" i="262"/>
  <c r="Q24" i="262"/>
  <c r="P24" i="262"/>
  <c r="O24" i="262"/>
  <c r="M24" i="262"/>
  <c r="L24" i="262"/>
  <c r="K24" i="262"/>
  <c r="I24" i="262"/>
  <c r="H24" i="262"/>
  <c r="G24" i="262"/>
  <c r="E24" i="262"/>
  <c r="D24" i="262"/>
  <c r="C24" i="262"/>
  <c r="R23" i="262"/>
  <c r="R22" i="262"/>
  <c r="R21" i="262"/>
  <c r="R20" i="262"/>
  <c r="R19" i="262"/>
  <c r="R18" i="262"/>
  <c r="R17" i="262"/>
  <c r="R15" i="262"/>
  <c r="R14" i="262"/>
  <c r="R13" i="262"/>
  <c r="R12" i="262"/>
  <c r="R11" i="262"/>
  <c r="R10" i="262"/>
  <c r="R9" i="262"/>
  <c r="R7" i="262"/>
  <c r="R6" i="262"/>
  <c r="R5" i="262"/>
  <c r="N23" i="262"/>
  <c r="N22" i="262"/>
  <c r="N21" i="262"/>
  <c r="N20" i="262"/>
  <c r="N19" i="262"/>
  <c r="N18" i="262"/>
  <c r="N17" i="262"/>
  <c r="N15" i="262"/>
  <c r="N14" i="262"/>
  <c r="N13" i="262"/>
  <c r="N12" i="262"/>
  <c r="N11" i="262"/>
  <c r="N10" i="262"/>
  <c r="N9" i="262"/>
  <c r="N7" i="262"/>
  <c r="N6" i="262"/>
  <c r="N5" i="262"/>
  <c r="J23" i="262"/>
  <c r="J22" i="262"/>
  <c r="J21" i="262"/>
  <c r="J19" i="262"/>
  <c r="J18" i="262"/>
  <c r="J17" i="262"/>
  <c r="J15" i="262"/>
  <c r="J14" i="262"/>
  <c r="J13" i="262"/>
  <c r="J12" i="262"/>
  <c r="J11" i="262"/>
  <c r="J10" i="262"/>
  <c r="J9" i="262"/>
  <c r="J7" i="262"/>
  <c r="J5" i="262"/>
  <c r="F23" i="262"/>
  <c r="F22" i="262"/>
  <c r="F21" i="262"/>
  <c r="F20" i="262"/>
  <c r="F19" i="262"/>
  <c r="F18" i="262"/>
  <c r="F17" i="262"/>
  <c r="F15" i="262"/>
  <c r="F14" i="262"/>
  <c r="F13" i="262"/>
  <c r="F12" i="262"/>
  <c r="F11" i="262"/>
  <c r="F10" i="262"/>
  <c r="F9" i="262"/>
  <c r="F7" i="262"/>
  <c r="F6" i="262"/>
  <c r="F5" i="262"/>
  <c r="Q8" i="262"/>
  <c r="P8" i="262"/>
  <c r="O8" i="262"/>
  <c r="M8" i="262"/>
  <c r="L8" i="262"/>
  <c r="K8" i="262"/>
  <c r="I8" i="262"/>
  <c r="H8" i="262"/>
  <c r="G8" i="262"/>
  <c r="E8" i="262"/>
  <c r="F8" i="262" s="1"/>
  <c r="D8" i="262"/>
  <c r="C8" i="262"/>
  <c r="Q7" i="260"/>
  <c r="Q6" i="260"/>
  <c r="Q5" i="260"/>
  <c r="M7" i="260"/>
  <c r="M6" i="260"/>
  <c r="M5" i="260"/>
  <c r="I7" i="260"/>
  <c r="I6" i="260"/>
  <c r="I5" i="260"/>
  <c r="E7" i="260"/>
  <c r="E6" i="260"/>
  <c r="E5" i="260"/>
  <c r="P8" i="260"/>
  <c r="O8" i="260"/>
  <c r="N8" i="260"/>
  <c r="L8" i="260"/>
  <c r="K8" i="260"/>
  <c r="J8" i="260"/>
  <c r="H8" i="260"/>
  <c r="G8" i="260"/>
  <c r="F8" i="260"/>
  <c r="D8" i="260"/>
  <c r="C8" i="260"/>
  <c r="B8" i="260"/>
  <c r="Q7" i="265"/>
  <c r="Q6" i="265"/>
  <c r="Q5" i="265"/>
  <c r="M7" i="265"/>
  <c r="M6" i="265"/>
  <c r="M5" i="265"/>
  <c r="I7" i="265"/>
  <c r="I6" i="265"/>
  <c r="I5" i="265"/>
  <c r="E7" i="265"/>
  <c r="E5" i="265"/>
  <c r="P9" i="265"/>
  <c r="O9" i="265"/>
  <c r="N9" i="265"/>
  <c r="L9" i="265"/>
  <c r="M9" i="265" s="1"/>
  <c r="K9" i="265"/>
  <c r="J9" i="265"/>
  <c r="H9" i="265"/>
  <c r="G9" i="265"/>
  <c r="F9" i="265"/>
  <c r="D9" i="265"/>
  <c r="C9" i="265"/>
  <c r="B9" i="265"/>
  <c r="Q12" i="259"/>
  <c r="Q11" i="259"/>
  <c r="Q10" i="259"/>
  <c r="Q9" i="259"/>
  <c r="Q8" i="259"/>
  <c r="Q7" i="259"/>
  <c r="Q6" i="259"/>
  <c r="Q5" i="259"/>
  <c r="M12" i="259"/>
  <c r="M11" i="259"/>
  <c r="M10" i="259"/>
  <c r="M9" i="259"/>
  <c r="M8" i="259"/>
  <c r="M7" i="259"/>
  <c r="M6" i="259"/>
  <c r="M5" i="259"/>
  <c r="I12" i="259"/>
  <c r="I11" i="259"/>
  <c r="I10" i="259"/>
  <c r="I9" i="259"/>
  <c r="I8" i="259"/>
  <c r="I7" i="259"/>
  <c r="I6" i="259"/>
  <c r="I5" i="259"/>
  <c r="E12" i="259"/>
  <c r="E11" i="259"/>
  <c r="E10" i="259"/>
  <c r="E9" i="259"/>
  <c r="E8" i="259"/>
  <c r="E7" i="259"/>
  <c r="E6" i="259"/>
  <c r="E5" i="259"/>
  <c r="P13" i="259"/>
  <c r="O13" i="259"/>
  <c r="N13" i="259"/>
  <c r="L13" i="259"/>
  <c r="K13" i="259"/>
  <c r="J13" i="259"/>
  <c r="H13" i="259"/>
  <c r="G13" i="259"/>
  <c r="F13" i="259"/>
  <c r="D13" i="259"/>
  <c r="C13" i="259"/>
  <c r="B13" i="259"/>
  <c r="Q11" i="253"/>
  <c r="Q10" i="253"/>
  <c r="Q9" i="253"/>
  <c r="Q8" i="253"/>
  <c r="Q7" i="253"/>
  <c r="Q6" i="253"/>
  <c r="Q5" i="253"/>
  <c r="M11" i="253"/>
  <c r="M10" i="253"/>
  <c r="M9" i="253"/>
  <c r="M8" i="253"/>
  <c r="M7" i="253"/>
  <c r="M6" i="253"/>
  <c r="M5" i="253"/>
  <c r="I11" i="253"/>
  <c r="I10" i="253"/>
  <c r="I9" i="253"/>
  <c r="I8" i="253"/>
  <c r="I7" i="253"/>
  <c r="I6" i="253"/>
  <c r="I5" i="253"/>
  <c r="E11" i="253"/>
  <c r="E10" i="253"/>
  <c r="E9" i="253"/>
  <c r="E8" i="253"/>
  <c r="E7" i="253"/>
  <c r="E6" i="253"/>
  <c r="B12" i="253"/>
  <c r="C12" i="253"/>
  <c r="D12" i="253"/>
  <c r="F12" i="253"/>
  <c r="G12" i="253"/>
  <c r="H12" i="253"/>
  <c r="J12" i="253"/>
  <c r="K12" i="253"/>
  <c r="L12" i="253"/>
  <c r="N12" i="253"/>
  <c r="O12" i="253"/>
  <c r="P12" i="253"/>
  <c r="E13" i="297" l="1"/>
  <c r="W15" i="317"/>
  <c r="E9" i="311"/>
  <c r="M18" i="291"/>
  <c r="M9" i="286"/>
  <c r="I25" i="268"/>
  <c r="M7" i="266"/>
  <c r="I7" i="266"/>
  <c r="J16" i="262"/>
  <c r="N8" i="262"/>
  <c r="N24" i="262"/>
  <c r="Q9" i="265"/>
  <c r="M12" i="253"/>
  <c r="M13" i="314"/>
  <c r="I9" i="311"/>
  <c r="I13" i="308"/>
  <c r="E12" i="307"/>
  <c r="M13" i="301"/>
  <c r="M9" i="298"/>
  <c r="Q13" i="297"/>
  <c r="M13" i="296"/>
  <c r="E8" i="279"/>
  <c r="I25" i="289"/>
  <c r="E25" i="289"/>
  <c r="M12" i="293"/>
  <c r="M17" i="283"/>
  <c r="M8" i="271"/>
  <c r="M23" i="269"/>
  <c r="Q7" i="266"/>
  <c r="E7" i="266"/>
  <c r="M13" i="264"/>
  <c r="E13" i="264"/>
  <c r="Q21" i="322"/>
  <c r="M8" i="320"/>
  <c r="I25" i="315"/>
  <c r="I7" i="313"/>
  <c r="E8" i="312"/>
  <c r="I13" i="310"/>
  <c r="E13" i="308"/>
  <c r="I17" i="306"/>
  <c r="M10" i="304"/>
  <c r="E10" i="304"/>
  <c r="M25" i="302"/>
  <c r="M7" i="300"/>
  <c r="E9" i="298"/>
  <c r="I13" i="296"/>
  <c r="E17" i="294"/>
  <c r="M7" i="290"/>
  <c r="I7" i="290"/>
  <c r="E7" i="290"/>
  <c r="I13" i="288"/>
  <c r="E13" i="288"/>
  <c r="Q13" i="288"/>
  <c r="M13" i="284"/>
  <c r="M8" i="277"/>
  <c r="I8" i="271"/>
  <c r="P23" i="269"/>
  <c r="K23" i="269"/>
  <c r="J9" i="269"/>
  <c r="E23" i="269"/>
  <c r="M25" i="262"/>
  <c r="J24" i="262"/>
  <c r="J8" i="262"/>
  <c r="C25" i="262"/>
  <c r="I13" i="264"/>
  <c r="Q12" i="253"/>
  <c r="R8" i="271"/>
  <c r="E8" i="271"/>
  <c r="S8" i="271"/>
  <c r="T8" i="271"/>
  <c r="R8" i="262"/>
  <c r="R16" i="262"/>
  <c r="O25" i="262"/>
  <c r="N16" i="262"/>
  <c r="L25" i="262"/>
  <c r="K25" i="262"/>
  <c r="I25" i="262"/>
  <c r="F16" i="262"/>
  <c r="E21" i="322"/>
  <c r="E10" i="321"/>
  <c r="E8" i="320"/>
  <c r="M15" i="317"/>
  <c r="E15" i="317"/>
  <c r="Q12" i="316"/>
  <c r="M25" i="315"/>
  <c r="E25" i="315"/>
  <c r="E13" i="314"/>
  <c r="M9" i="311"/>
  <c r="M13" i="310"/>
  <c r="M17" i="306"/>
  <c r="Q17" i="306"/>
  <c r="M8" i="281"/>
  <c r="Q10" i="304"/>
  <c r="I25" i="302"/>
  <c r="E25" i="302"/>
  <c r="M8" i="299"/>
  <c r="Q8" i="299"/>
  <c r="I8" i="299"/>
  <c r="I13" i="297"/>
  <c r="Q13" i="296"/>
  <c r="M25" i="289"/>
  <c r="Q25" i="289"/>
  <c r="M7" i="287"/>
  <c r="E12" i="285"/>
  <c r="I13" i="284"/>
  <c r="E13" i="284"/>
  <c r="I21" i="275"/>
  <c r="M21" i="322"/>
  <c r="I21" i="322"/>
  <c r="M10" i="321"/>
  <c r="Q10" i="321"/>
  <c r="I8" i="320"/>
  <c r="Q8" i="320"/>
  <c r="I15" i="317"/>
  <c r="S15" i="317"/>
  <c r="V15" i="317"/>
  <c r="R15" i="317"/>
  <c r="T15" i="317"/>
  <c r="Q25" i="315"/>
  <c r="I13" i="314"/>
  <c r="M7" i="313"/>
  <c r="E7" i="313"/>
  <c r="M8" i="312"/>
  <c r="I8" i="312"/>
  <c r="Q8" i="312"/>
  <c r="Q9" i="311"/>
  <c r="Q13" i="310"/>
  <c r="E13" i="310"/>
  <c r="M13" i="308"/>
  <c r="Q13" i="308"/>
  <c r="M12" i="307"/>
  <c r="I12" i="307"/>
  <c r="Q12" i="307"/>
  <c r="E17" i="306"/>
  <c r="I10" i="304"/>
  <c r="Q25" i="302"/>
  <c r="I13" i="301"/>
  <c r="E13" i="301"/>
  <c r="Q13" i="301"/>
  <c r="I9" i="298"/>
  <c r="Q9" i="298"/>
  <c r="M13" i="297"/>
  <c r="E13" i="296"/>
  <c r="M12" i="295"/>
  <c r="E12" i="295"/>
  <c r="Q12" i="295"/>
  <c r="M17" i="294"/>
  <c r="Q17" i="294"/>
  <c r="I17" i="294"/>
  <c r="Q8" i="279"/>
  <c r="Q7" i="290"/>
  <c r="Q18" i="291"/>
  <c r="I7" i="287"/>
  <c r="Q7" i="287"/>
  <c r="E7" i="287"/>
  <c r="Q9" i="286"/>
  <c r="I9" i="286"/>
  <c r="E9" i="286"/>
  <c r="Q13" i="284"/>
  <c r="E12" i="293"/>
  <c r="Q17" i="283"/>
  <c r="I8" i="277"/>
  <c r="E8" i="277"/>
  <c r="Q8" i="277"/>
  <c r="M21" i="275"/>
  <c r="E21" i="275"/>
  <c r="M16" i="272"/>
  <c r="R16" i="272"/>
  <c r="S16" i="272"/>
  <c r="G23" i="269"/>
  <c r="I23" i="269"/>
  <c r="C23" i="269"/>
  <c r="L23" i="269"/>
  <c r="H23" i="269"/>
  <c r="F9" i="269"/>
  <c r="M25" i="268"/>
  <c r="E25" i="268"/>
  <c r="I9" i="265"/>
  <c r="E9" i="265"/>
  <c r="Q13" i="264"/>
  <c r="I12" i="253"/>
  <c r="E12" i="253"/>
  <c r="L26" i="270"/>
  <c r="J22" i="270"/>
  <c r="L22" i="270"/>
  <c r="H26" i="270"/>
  <c r="G21" i="270"/>
  <c r="F21" i="270"/>
  <c r="J21" i="270"/>
  <c r="B22" i="270"/>
  <c r="H22" i="270"/>
  <c r="E31" i="270"/>
  <c r="G26" i="270"/>
  <c r="B26" i="270"/>
  <c r="D24" i="270"/>
  <c r="G24" i="270"/>
  <c r="H25" i="270"/>
  <c r="E22" i="270"/>
  <c r="L21" i="270"/>
  <c r="K24" i="270"/>
  <c r="J24" i="270"/>
  <c r="L31" i="270"/>
  <c r="J31" i="270"/>
  <c r="E21" i="270"/>
  <c r="D31" i="270"/>
  <c r="G31" i="270"/>
  <c r="F31" i="270"/>
  <c r="Q23" i="319"/>
  <c r="U15" i="317"/>
  <c r="Q15" i="317"/>
  <c r="Q13" i="314"/>
  <c r="Q7" i="313"/>
  <c r="I21" i="303"/>
  <c r="E8" i="299"/>
  <c r="Q16" i="272"/>
  <c r="T16" i="272"/>
  <c r="V16" i="272"/>
  <c r="W16" i="272"/>
  <c r="U16" i="272"/>
  <c r="Q8" i="271"/>
  <c r="V8" i="271"/>
  <c r="W8" i="271"/>
  <c r="U8" i="271"/>
  <c r="Q23" i="269"/>
  <c r="O23" i="269"/>
  <c r="Q25" i="268"/>
  <c r="I12" i="316"/>
  <c r="M12" i="316"/>
  <c r="E12" i="316"/>
  <c r="E8" i="281"/>
  <c r="I8" i="281"/>
  <c r="Q8" i="281"/>
  <c r="Q7" i="300"/>
  <c r="E7" i="300"/>
  <c r="I7" i="300"/>
  <c r="I12" i="295"/>
  <c r="I8" i="279"/>
  <c r="M8" i="279"/>
  <c r="I18" i="291"/>
  <c r="E18" i="291"/>
  <c r="M13" i="288"/>
  <c r="I12" i="285"/>
  <c r="M12" i="285"/>
  <c r="Q12" i="285"/>
  <c r="I12" i="293"/>
  <c r="Q12" i="293"/>
  <c r="E17" i="283"/>
  <c r="I17" i="283"/>
  <c r="E16" i="272"/>
  <c r="I16" i="272"/>
  <c r="N9" i="269"/>
  <c r="R9" i="269"/>
  <c r="M13" i="267"/>
  <c r="Q13" i="267"/>
  <c r="E13" i="267"/>
  <c r="I13" i="267"/>
  <c r="P25" i="262"/>
  <c r="Q25" i="262"/>
  <c r="E25" i="262"/>
  <c r="G25" i="262"/>
  <c r="D25" i="262"/>
  <c r="H25" i="262"/>
  <c r="F24" i="262"/>
  <c r="R24" i="262"/>
  <c r="I8" i="260"/>
  <c r="E8" i="260"/>
  <c r="M8" i="260"/>
  <c r="Q8" i="260"/>
  <c r="E13" i="259"/>
  <c r="M13" i="259"/>
  <c r="I13" i="259"/>
  <c r="Q13" i="259"/>
  <c r="E9" i="278"/>
  <c r="E7" i="278"/>
  <c r="E6" i="278"/>
  <c r="E5" i="278"/>
  <c r="E4" i="278"/>
  <c r="P18" i="292"/>
  <c r="O18" i="292"/>
  <c r="N18" i="292"/>
  <c r="P17" i="292"/>
  <c r="O17" i="292"/>
  <c r="N17" i="292"/>
  <c r="P16" i="292"/>
  <c r="O16" i="292"/>
  <c r="N16" i="292"/>
  <c r="P15" i="292"/>
  <c r="O15" i="292"/>
  <c r="N15" i="292"/>
  <c r="P14" i="292"/>
  <c r="O14" i="292"/>
  <c r="N14" i="292"/>
  <c r="P13" i="292"/>
  <c r="O13" i="292"/>
  <c r="N13" i="292"/>
  <c r="P12" i="292"/>
  <c r="O12" i="292"/>
  <c r="N12" i="292"/>
  <c r="P11" i="292"/>
  <c r="O11" i="292"/>
  <c r="N11" i="292"/>
  <c r="P10" i="292"/>
  <c r="O10" i="292"/>
  <c r="N10" i="292"/>
  <c r="P9" i="292"/>
  <c r="O9" i="292"/>
  <c r="N9" i="292"/>
  <c r="P8" i="292"/>
  <c r="O8" i="292"/>
  <c r="N8" i="292"/>
  <c r="P7" i="292"/>
  <c r="O7" i="292"/>
  <c r="N7" i="292"/>
  <c r="P6" i="292"/>
  <c r="O6" i="292"/>
  <c r="N6" i="292"/>
  <c r="P5" i="292"/>
  <c r="O5" i="292"/>
  <c r="N5" i="292"/>
  <c r="D20" i="276"/>
  <c r="P20" i="275"/>
  <c r="O20" i="275"/>
  <c r="N20" i="275"/>
  <c r="P18" i="275"/>
  <c r="O18" i="275"/>
  <c r="N18" i="275"/>
  <c r="P17" i="275"/>
  <c r="O17" i="275"/>
  <c r="N17" i="275"/>
  <c r="P16" i="275"/>
  <c r="O16" i="275"/>
  <c r="N16" i="275"/>
  <c r="P15" i="275"/>
  <c r="O15" i="275"/>
  <c r="N15" i="275"/>
  <c r="P14" i="275"/>
  <c r="O14" i="275"/>
  <c r="N14" i="275"/>
  <c r="P13" i="275"/>
  <c r="O13" i="275"/>
  <c r="N13" i="275"/>
  <c r="P12" i="275"/>
  <c r="O12" i="275"/>
  <c r="N12" i="275"/>
  <c r="P11" i="275"/>
  <c r="O11" i="275"/>
  <c r="N11" i="275"/>
  <c r="P10" i="275"/>
  <c r="O10" i="275"/>
  <c r="N10" i="275"/>
  <c r="P9" i="275"/>
  <c r="O9" i="275"/>
  <c r="N9" i="275"/>
  <c r="P8" i="275"/>
  <c r="O8" i="275"/>
  <c r="N8" i="275"/>
  <c r="P7" i="275"/>
  <c r="O7" i="275"/>
  <c r="N7" i="275"/>
  <c r="P6" i="275"/>
  <c r="O6" i="275"/>
  <c r="N6" i="275"/>
  <c r="P5" i="275"/>
  <c r="O5" i="275"/>
  <c r="N5" i="275"/>
  <c r="Q5" i="274"/>
  <c r="F25" i="262" l="1"/>
  <c r="N25" i="262"/>
  <c r="R25" i="262"/>
  <c r="J25" i="262"/>
  <c r="Q18" i="275"/>
  <c r="N21" i="292"/>
  <c r="O21" i="292"/>
  <c r="P21" i="292"/>
  <c r="Q20" i="275"/>
  <c r="Q15" i="275"/>
  <c r="Q16" i="275"/>
  <c r="Q11" i="275"/>
  <c r="Q8" i="275"/>
  <c r="Q7" i="275"/>
  <c r="Q6" i="275"/>
  <c r="O21" i="275"/>
  <c r="P21" i="275"/>
  <c r="Q5" i="275"/>
  <c r="Q13" i="275"/>
  <c r="Q14" i="275"/>
  <c r="Q9" i="275"/>
  <c r="Q17" i="275"/>
  <c r="Q12" i="275"/>
  <c r="N21" i="275"/>
  <c r="Q10" i="275"/>
  <c r="Q7" i="274"/>
  <c r="O8" i="274"/>
  <c r="P8" i="274"/>
  <c r="N8" i="274"/>
  <c r="M22" i="270"/>
  <c r="I31" i="270"/>
  <c r="E27" i="270"/>
  <c r="I22" i="270"/>
  <c r="K21" i="270"/>
  <c r="M21" i="270"/>
  <c r="C22" i="270"/>
  <c r="D22" i="270"/>
  <c r="G22" i="270"/>
  <c r="F22" i="270"/>
  <c r="G27" i="270"/>
  <c r="F27" i="270"/>
  <c r="Q17" i="292"/>
  <c r="Q13" i="292"/>
  <c r="Q11" i="292"/>
  <c r="Q15" i="292"/>
  <c r="E21" i="292"/>
  <c r="Q9" i="292"/>
  <c r="I21" i="292"/>
  <c r="M21" i="292"/>
  <c r="Q12" i="292"/>
  <c r="Q18" i="292"/>
  <c r="Q16" i="292"/>
  <c r="Q14" i="292"/>
  <c r="Q5" i="292"/>
  <c r="Q7" i="292"/>
  <c r="Q6" i="292"/>
  <c r="Q10" i="292"/>
  <c r="Q8" i="292"/>
  <c r="Q8" i="274" l="1"/>
  <c r="Q21" i="292"/>
  <c r="Q21" i="275"/>
  <c r="H27" i="270"/>
  <c r="I23" i="270" s="1"/>
  <c r="J27" i="270"/>
  <c r="H21" i="270"/>
  <c r="H31" i="270"/>
  <c r="I27" i="270" s="1"/>
  <c r="J23" i="270" s="1"/>
  <c r="K22" i="270"/>
  <c r="I21" i="270"/>
  <c r="B31" i="270"/>
  <c r="C27" i="270" s="1"/>
  <c r="C31" i="270"/>
  <c r="K31" i="270"/>
  <c r="M31" i="270"/>
  <c r="G23" i="270"/>
  <c r="F23" i="270"/>
  <c r="R23" i="269"/>
  <c r="N23" i="269"/>
  <c r="J23" i="269"/>
  <c r="F23" i="269"/>
  <c r="R22" i="269"/>
  <c r="N22" i="269"/>
  <c r="J22" i="269"/>
  <c r="F22" i="269"/>
  <c r="R21" i="269"/>
  <c r="N21" i="269"/>
  <c r="J21" i="269"/>
  <c r="F21" i="269"/>
  <c r="R20" i="269"/>
  <c r="N20" i="269"/>
  <c r="J20" i="269"/>
  <c r="R19" i="269"/>
  <c r="N19" i="269"/>
  <c r="J19" i="269"/>
  <c r="F19" i="269"/>
  <c r="R18" i="269"/>
  <c r="N18" i="269"/>
  <c r="J18" i="269"/>
  <c r="F18" i="269"/>
  <c r="R17" i="269"/>
  <c r="N17" i="269"/>
  <c r="J17" i="269"/>
  <c r="F17" i="269"/>
  <c r="R16" i="269"/>
  <c r="N16" i="269"/>
  <c r="J16" i="269"/>
  <c r="F16" i="269"/>
  <c r="R15" i="269"/>
  <c r="N15" i="269"/>
  <c r="J15" i="269"/>
  <c r="F15" i="269"/>
  <c r="R14" i="269"/>
  <c r="N14" i="269"/>
  <c r="J14" i="269"/>
  <c r="F14" i="269"/>
  <c r="R13" i="269"/>
  <c r="J13" i="269"/>
  <c r="R12" i="269"/>
  <c r="N12" i="269"/>
  <c r="J12" i="269"/>
  <c r="F12" i="269"/>
  <c r="R11" i="269"/>
  <c r="N11" i="269"/>
  <c r="J11" i="269"/>
  <c r="F11" i="269"/>
  <c r="R10" i="269"/>
  <c r="N10" i="269"/>
  <c r="J10" i="269"/>
  <c r="F10" i="269"/>
  <c r="R8" i="269"/>
  <c r="N8" i="269"/>
  <c r="J8" i="269"/>
  <c r="F8" i="269"/>
  <c r="R7" i="269"/>
  <c r="N7" i="269"/>
  <c r="J7" i="269"/>
  <c r="F7" i="269"/>
  <c r="R6" i="269"/>
  <c r="N6" i="269"/>
  <c r="J6" i="269"/>
  <c r="F6" i="269"/>
  <c r="R5" i="269"/>
  <c r="N5" i="269"/>
  <c r="J5" i="269"/>
  <c r="K27" i="270" l="1"/>
  <c r="B27" i="270"/>
  <c r="D27" i="270"/>
  <c r="H23" i="270"/>
  <c r="E23" i="270"/>
  <c r="M27" i="270"/>
  <c r="L27" i="270"/>
  <c r="B23" i="270"/>
  <c r="C23" i="270" l="1"/>
  <c r="D23" i="270"/>
  <c r="M23" i="270"/>
  <c r="L23" i="270"/>
  <c r="A77" i="324"/>
  <c r="K23" i="270" l="1"/>
  <c r="A45" i="324"/>
  <c r="A48" i="324"/>
  <c r="A85" i="324"/>
  <c r="A84" i="324"/>
  <c r="A83" i="324"/>
  <c r="A82" i="324"/>
  <c r="A81" i="324"/>
  <c r="A80" i="324"/>
  <c r="A79" i="324"/>
  <c r="A78" i="324"/>
  <c r="A76" i="324"/>
  <c r="A75" i="324"/>
  <c r="A74" i="324"/>
  <c r="A73" i="324"/>
  <c r="A72" i="324"/>
  <c r="A71" i="324"/>
  <c r="A70" i="324"/>
  <c r="A69" i="324"/>
  <c r="A65" i="324"/>
  <c r="A64" i="324"/>
  <c r="A63" i="324"/>
  <c r="A62" i="324"/>
  <c r="A61" i="324"/>
  <c r="A60" i="324"/>
  <c r="A59" i="324"/>
  <c r="A58" i="324"/>
  <c r="A57" i="324"/>
  <c r="A56" i="324"/>
  <c r="A55" i="324"/>
  <c r="A54" i="324"/>
  <c r="A53" i="324"/>
  <c r="A52" i="324"/>
  <c r="A47" i="324"/>
  <c r="A46" i="324"/>
  <c r="A44" i="324"/>
  <c r="A43" i="324"/>
  <c r="A42" i="324"/>
  <c r="A41" i="324"/>
  <c r="A40" i="324"/>
  <c r="A39" i="324"/>
  <c r="A38" i="324"/>
  <c r="A37" i="324"/>
  <c r="A36" i="324"/>
  <c r="A29" i="324" l="1"/>
  <c r="A28" i="324"/>
  <c r="A23" i="324"/>
  <c r="A22" i="324"/>
  <c r="A18" i="324"/>
  <c r="A17" i="324"/>
  <c r="A16" i="324"/>
  <c r="A15" i="324"/>
  <c r="A14" i="324"/>
  <c r="A13" i="324"/>
  <c r="A12" i="324"/>
  <c r="A11" i="324"/>
  <c r="A10" i="324"/>
  <c r="A9" i="324"/>
</calcChain>
</file>

<file path=xl/sharedStrings.xml><?xml version="1.0" encoding="utf-8"?>
<sst xmlns="http://schemas.openxmlformats.org/spreadsheetml/2006/main" count="1430" uniqueCount="369">
  <si>
    <t>Total</t>
  </si>
  <si>
    <t>Lisboa</t>
  </si>
  <si>
    <t>Porto</t>
  </si>
  <si>
    <t>Faro</t>
  </si>
  <si>
    <t>Aveiro</t>
  </si>
  <si>
    <t>Beja</t>
  </si>
  <si>
    <t>Braga</t>
  </si>
  <si>
    <t>Bragança</t>
  </si>
  <si>
    <t>Coimbra</t>
  </si>
  <si>
    <t>Évora</t>
  </si>
  <si>
    <t>Guarda</t>
  </si>
  <si>
    <t>Leiria</t>
  </si>
  <si>
    <t>Portalegre</t>
  </si>
  <si>
    <t>Santarém</t>
  </si>
  <si>
    <t>Setúbal</t>
  </si>
  <si>
    <t>Vila Real</t>
  </si>
  <si>
    <t>Viseu</t>
  </si>
  <si>
    <t>Atropelamento com fuga</t>
  </si>
  <si>
    <t>Atropelamento de animais</t>
  </si>
  <si>
    <t>Atropelamento de peões</t>
  </si>
  <si>
    <t>Colisão choque em cadeia</t>
  </si>
  <si>
    <t>Colisão com fuga</t>
  </si>
  <si>
    <t>Colisão com outras situações</t>
  </si>
  <si>
    <t>Colisão com veiculo ou obstáculo na faixa de rodagem</t>
  </si>
  <si>
    <t>Colisão frontal</t>
  </si>
  <si>
    <t>Colisão lateral com outro veículo em movimento</t>
  </si>
  <si>
    <t>Colisão traseira com outro veículo em movimento</t>
  </si>
  <si>
    <t>Despiste com capotamento</t>
  </si>
  <si>
    <t>Despiste com colisão com veículo imobil. ou obstáculo</t>
  </si>
  <si>
    <t>Despiste com dispositivo de retenção</t>
  </si>
  <si>
    <t>Despiste com fuga</t>
  </si>
  <si>
    <t>Despiste sem dispositivo de retenção</t>
  </si>
  <si>
    <t>Despiste simples</t>
  </si>
  <si>
    <t>QUADROS DE RESULTADOS</t>
  </si>
  <si>
    <t>ACAP</t>
  </si>
  <si>
    <t>Associação Automóvel de Portugal</t>
  </si>
  <si>
    <t>ANSR</t>
  </si>
  <si>
    <t>Autoridade Nacional de Segurança Rodoviária</t>
  </si>
  <si>
    <t>IMT</t>
  </si>
  <si>
    <t xml:space="preserve">Instituto da Mobilidade e dos Transportes </t>
  </si>
  <si>
    <t>NUTS</t>
  </si>
  <si>
    <t>Nomenclatura das unidades territoriais para fins estatísticos</t>
  </si>
  <si>
    <t>SIGLAS E ABREVIATURAS</t>
  </si>
  <si>
    <t>EUROSTAT</t>
  </si>
  <si>
    <t>INE</t>
  </si>
  <si>
    <t>Instituto Nacional de Estatística</t>
  </si>
  <si>
    <t>CE</t>
  </si>
  <si>
    <t>Comissão Europeia</t>
  </si>
  <si>
    <t>Mês</t>
  </si>
  <si>
    <t>AcV</t>
  </si>
  <si>
    <t>VM</t>
  </si>
  <si>
    <t>FG</t>
  </si>
  <si>
    <t>FL</t>
  </si>
  <si>
    <t>Sábado</t>
  </si>
  <si>
    <t>Domingo</t>
  </si>
  <si>
    <t>Atropelamento</t>
  </si>
  <si>
    <t>Colisão</t>
  </si>
  <si>
    <t>Despiste</t>
  </si>
  <si>
    <t>Despiste com transposição do dispositivo de retenção lateral</t>
  </si>
  <si>
    <t>Dia da semana</t>
  </si>
  <si>
    <t>Período horário</t>
  </si>
  <si>
    <t>Natureza</t>
  </si>
  <si>
    <t>-</t>
  </si>
  <si>
    <t>Bom tempo</t>
  </si>
  <si>
    <t>Chuva</t>
  </si>
  <si>
    <t>Nevoeiro</t>
  </si>
  <si>
    <t>Vento</t>
  </si>
  <si>
    <t>Neve</t>
  </si>
  <si>
    <t>Fumo</t>
  </si>
  <si>
    <t>Granizo</t>
  </si>
  <si>
    <t>n.d.</t>
  </si>
  <si>
    <t>Luminosidade</t>
  </si>
  <si>
    <t>Dia</t>
  </si>
  <si>
    <t>Noite</t>
  </si>
  <si>
    <t>Localização</t>
  </si>
  <si>
    <t>C. Branco</t>
  </si>
  <si>
    <t>V. Castelo</t>
  </si>
  <si>
    <t>Automóvel ligeiro</t>
  </si>
  <si>
    <t>Automóvel pesado</t>
  </si>
  <si>
    <t>Motociclo cilindrada &lt;= 125cc</t>
  </si>
  <si>
    <t>Motociclo cilindrada &gt; 125cc</t>
  </si>
  <si>
    <t>Velocípede</t>
  </si>
  <si>
    <t>Quadriciclo</t>
  </si>
  <si>
    <t>Triciclo</t>
  </si>
  <si>
    <t>Veículo agrícola</t>
  </si>
  <si>
    <t>Outros*</t>
  </si>
  <si>
    <t>Condutor</t>
  </si>
  <si>
    <t>Passageiro</t>
  </si>
  <si>
    <t>Peão</t>
  </si>
  <si>
    <t>Total de vítimas</t>
  </si>
  <si>
    <t>Peões</t>
  </si>
  <si>
    <t>Ciclomotor</t>
  </si>
  <si>
    <t>Sexo</t>
  </si>
  <si>
    <t>Masculino</t>
  </si>
  <si>
    <t>Feminino</t>
  </si>
  <si>
    <t>Grupo etário</t>
  </si>
  <si>
    <t>&lt;=14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</si>
  <si>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</si>
  <si>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</si>
  <si>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</si>
  <si>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</si>
  <si>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</si>
  <si>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</si>
  <si>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</si>
  <si>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</si>
  <si>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</si>
  <si>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</si>
  <si>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</si>
  <si>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</si>
  <si>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VM/milhão habitantes de Portugal</t>
  </si>
  <si>
    <t>Total de peões vítimas</t>
  </si>
  <si>
    <t>Continente</t>
  </si>
  <si>
    <t>Ano</t>
  </si>
  <si>
    <t>Total de passageiros vítimas</t>
  </si>
  <si>
    <t xml:space="preserve">BEAV </t>
  </si>
  <si>
    <t>Boletim Estatístico de Acidente de Viação</t>
  </si>
  <si>
    <t>GNR</t>
  </si>
  <si>
    <t>PSP</t>
  </si>
  <si>
    <t>Guarda Nacional Republicana</t>
  </si>
  <si>
    <t>Polícia de Segurança Pública</t>
  </si>
  <si>
    <t xml:space="preserve">PML </t>
  </si>
  <si>
    <t xml:space="preserve">SINCRO </t>
  </si>
  <si>
    <t>p.p.</t>
  </si>
  <si>
    <t>Pontos percentuais</t>
  </si>
  <si>
    <t xml:space="preserve">IGR </t>
  </si>
  <si>
    <t>Índice de gravidade</t>
  </si>
  <si>
    <t xml:space="preserve">FL </t>
  </si>
  <si>
    <t>Vítima mortal</t>
  </si>
  <si>
    <t>Ferido grave</t>
  </si>
  <si>
    <t>Ferido leve</t>
  </si>
  <si>
    <t>AcVM</t>
  </si>
  <si>
    <t>AcFG</t>
  </si>
  <si>
    <t>AcFL</t>
  </si>
  <si>
    <t>Acidente com vítima mortal</t>
  </si>
  <si>
    <t>Acidente com ferido grave</t>
  </si>
  <si>
    <t>Acidente com ferido leve</t>
  </si>
  <si>
    <t>Acidente com vítimas</t>
  </si>
  <si>
    <t>SINISTRALIDADE RODOVIÁRIA A 30 DIAS</t>
  </si>
  <si>
    <t>SINISTRALIDADE</t>
  </si>
  <si>
    <t>VEÍCULOS INTERVENIENTES</t>
  </si>
  <si>
    <t>VÍTIMAS</t>
  </si>
  <si>
    <t>PEÕES</t>
  </si>
  <si>
    <t>PASSAGEIROS</t>
  </si>
  <si>
    <t>CONDUTORES</t>
  </si>
  <si>
    <t>Tipo de via</t>
  </si>
  <si>
    <t>Em plena faixa de rodagem</t>
  </si>
  <si>
    <t>Atravessando em passagem sinalizada</t>
  </si>
  <si>
    <t>Transitando pela berma ou passeio</t>
  </si>
  <si>
    <t>Atravessando fora da passagem de peões a mais de 50m de uma passagem ou quando não exista passagem</t>
  </si>
  <si>
    <t>Atravessando fora da passagem de peões, a menos de 50m de uma passagem</t>
  </si>
  <si>
    <t>A sair ou entrar num veículo</t>
  </si>
  <si>
    <t>Atravessando em passagem sinalizada com desrespeito da sinalização semafórica</t>
  </si>
  <si>
    <t>Transitando pela esquerda da faixa de rodagem</t>
  </si>
  <si>
    <t>Em ilhéu ou refúgio na via</t>
  </si>
  <si>
    <t>Transitando pela direita da faixa de rodagem</t>
  </si>
  <si>
    <t>Em trabalhos na via</t>
  </si>
  <si>
    <t>Surgindo inesperadamente na faixa de rodagem de trás de um obstáculo</t>
  </si>
  <si>
    <t>Fatores atmosféricos</t>
  </si>
  <si>
    <t>Acessório de segurança</t>
  </si>
  <si>
    <t>C/ capacete/ cinto segurança</t>
  </si>
  <si>
    <t>C/ sistema retenção de crianças</t>
  </si>
  <si>
    <t>S/ sistema retenção de crianças</t>
  </si>
  <si>
    <t>S/ uso capacete/cinto segurança</t>
  </si>
  <si>
    <t>Total de condutores vítimas</t>
  </si>
  <si>
    <t>Caducada/ suspensa</t>
  </si>
  <si>
    <t>Com licença/ carta adequada ao veiculo</t>
  </si>
  <si>
    <t>Com licença/ carta não adequada ao veiculo</t>
  </si>
  <si>
    <t>Em situação de instrução/exame</t>
  </si>
  <si>
    <t>Não necessária ao veiculo que conduz</t>
  </si>
  <si>
    <t>Sem licença/carta</t>
  </si>
  <si>
    <t>VM/100 vítimas</t>
  </si>
  <si>
    <t>FG/100 vítimas</t>
  </si>
  <si>
    <t>Ações dos condutores</t>
  </si>
  <si>
    <t>Em marcha normal</t>
  </si>
  <si>
    <t>Mudança de direcção para a esquerda</t>
  </si>
  <si>
    <t>Parado ou estacionado</t>
  </si>
  <si>
    <t>Início de marcha</t>
  </si>
  <si>
    <t>Ultrapassagem pela esquerda</t>
  </si>
  <si>
    <t>Mudança de direcção para a direita</t>
  </si>
  <si>
    <t>Marcha atrás</t>
  </si>
  <si>
    <t>Desvio brusco/ saída de fila de trânsito</t>
  </si>
  <si>
    <t>Atravessando a via</t>
  </si>
  <si>
    <t>Saída de parqueamento ou de rua particular</t>
  </si>
  <si>
    <t>Mudança de via de trânsito para a esquerda</t>
  </si>
  <si>
    <t>Travagem brusca</t>
  </si>
  <si>
    <t>Mudança de via de trânsito para a direita</t>
  </si>
  <si>
    <t>Inversão do sentido de marcha</t>
  </si>
  <si>
    <t>Circulação em sentido oposto ao estabelecido</t>
  </si>
  <si>
    <t>Ultrapassagem pela direita</t>
  </si>
  <si>
    <t>Trânsito em filas paralelas</t>
  </si>
  <si>
    <t>Polícia Municipal</t>
  </si>
  <si>
    <t>Sistema Nacional de Controlo de Velocidade</t>
  </si>
  <si>
    <t xml:space="preserve">Serviço de Estatística da União Europeia </t>
  </si>
  <si>
    <t>Quadro 5.3 Passageiros vítimas em Portugal por mês</t>
  </si>
  <si>
    <t>Quadro 5.4 Passageiros vítimas em Portugal por dia da semana</t>
  </si>
  <si>
    <t>Quadro 5.5 Passageiros vítimas em Portugal por período horário</t>
  </si>
  <si>
    <t>Quadro 5.6 Passageiros vítimas em Portugal por fatores atmosféricos</t>
  </si>
  <si>
    <t>Quadro 5.7 Passageiros vítimas em Portugal por luminosidade</t>
  </si>
  <si>
    <t>Quadro 5.9 Passageiros vítimas em Portugal por localização</t>
  </si>
  <si>
    <t>Quadro 5.10 Passageiros vítimas em Portugal por tipo de via</t>
  </si>
  <si>
    <t>Quadro 5.12 Passageiros vítimas em Portugal por grupo etário</t>
  </si>
  <si>
    <t>Quadro 5.13 Passageiros vítimas em Portugal por acesssório de segurança</t>
  </si>
  <si>
    <t>Quadro 6.3 Condutores vítimas em Portugal por mês</t>
  </si>
  <si>
    <t>Quadro 6.4 Condutores vítimas em Portugal por dia da semana</t>
  </si>
  <si>
    <t>Quadro 6.5 Condutores vítimas em Portugal por período horário</t>
  </si>
  <si>
    <t>Aurora/Crepúsculo</t>
  </si>
  <si>
    <t>Dentro das localidades</t>
  </si>
  <si>
    <t>Fora das localidades</t>
  </si>
  <si>
    <t>*Inclui acessos, estradas florestais, pontes, variantes e não definidas</t>
  </si>
  <si>
    <t xml:space="preserve">Total </t>
  </si>
  <si>
    <t>NUTS I</t>
  </si>
  <si>
    <t>Quadro 6.6 Condutores vítimas em Portugal por fatores atmosféricos</t>
  </si>
  <si>
    <t>Quadro 6.7 Condutores vítimas em Portugal por luminosidade</t>
  </si>
  <si>
    <t>Quadro 6.9 Condutores vítimas em Portugal por localização</t>
  </si>
  <si>
    <t>Quadro 6.10 Condutores vítimas em Portugal por tipo de via</t>
  </si>
  <si>
    <t>Quadro 6.13 Condutores vítimas em Portugal por categoria de veículo</t>
  </si>
  <si>
    <t>Quadro 6.14 Condutores vítimas em Portugal por ações dos condutores</t>
  </si>
  <si>
    <t>Quadro 6.16 Condutores vítimas em Portugal por acessórios de segurança</t>
  </si>
  <si>
    <t>Quadro 6.17 Condutores vítimas em Portugal por grupo etário</t>
  </si>
  <si>
    <t>Quadro 6.12 Condutores vítimas em Portugal por situação da licença de condução</t>
  </si>
  <si>
    <t>Situação da Licença de Condução</t>
  </si>
  <si>
    <t>Quadro 3.2 Vítimas em Portugal por categoria de veículo</t>
  </si>
  <si>
    <t>Quadro 6.1 Condutores vítimas em Portugal por região NUTS I</t>
  </si>
  <si>
    <t>Quadro 6.15 Condutores vítimas em Portugal por sexo</t>
  </si>
  <si>
    <t>Quadro 5.14 Passageiros vítimas em Portugal por sexo</t>
  </si>
  <si>
    <t>[00:00-03:00[</t>
  </si>
  <si>
    <t>[03:00-06:00[</t>
  </si>
  <si>
    <t>[06:00-09:00[</t>
  </si>
  <si>
    <t>[09:00-12:00[</t>
  </si>
  <si>
    <t>[12:00-15:00[</t>
  </si>
  <si>
    <t>[15:00-18:00[</t>
  </si>
  <si>
    <t>[18:00-21:00[</t>
  </si>
  <si>
    <t>[21:00-00:00[</t>
  </si>
  <si>
    <t>Categoria de veículo</t>
  </si>
  <si>
    <t xml:space="preserve">Categoria veículo e natureza </t>
  </si>
  <si>
    <t xml:space="preserve">Atropelamento </t>
  </si>
  <si>
    <t>Veículo Ligeiro</t>
  </si>
  <si>
    <t xml:space="preserve">Passageiros </t>
  </si>
  <si>
    <t xml:space="preserve">Mercadorias </t>
  </si>
  <si>
    <t xml:space="preserve">Outros </t>
  </si>
  <si>
    <t xml:space="preserve">n.d. </t>
  </si>
  <si>
    <t xml:space="preserve">Veículo Pesado </t>
  </si>
  <si>
    <t xml:space="preserve">Categoria e idade do veículo </t>
  </si>
  <si>
    <t xml:space="preserve">≤ 4 anos </t>
  </si>
  <si>
    <t xml:space="preserve">5 a 9 anos </t>
  </si>
  <si>
    <t xml:space="preserve">10 a 14 anos </t>
  </si>
  <si>
    <t xml:space="preserve">Motociclo cilindrada &lt;= 125cc </t>
  </si>
  <si>
    <t xml:space="preserve">Motociclo cilindrada &gt; 125cc </t>
  </si>
  <si>
    <t xml:space="preserve">Quadriciclo </t>
  </si>
  <si>
    <t xml:space="preserve">Triciclo </t>
  </si>
  <si>
    <t xml:space="preserve">Veículo agrícola </t>
  </si>
  <si>
    <t xml:space="preserve">Outros* 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</si>
  <si>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</si>
  <si>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</si>
  <si>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</si>
  <si>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</si>
  <si>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</si>
  <si>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</si>
  <si>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</si>
  <si>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</si>
  <si>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</si>
  <si>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</si>
  <si>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</si>
  <si>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</si>
  <si>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</si>
  <si>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</si>
  <si>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</si>
  <si>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</si>
  <si>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</si>
  <si>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</si>
  <si>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</si>
  <si>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</si>
  <si>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</si>
  <si>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</si>
  <si>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</si>
  <si>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</si>
  <si>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Vento Forte</t>
  </si>
  <si>
    <t xml:space="preserve"> </t>
  </si>
  <si>
    <t>nd</t>
  </si>
  <si>
    <t>Categoria de veículo e peões</t>
  </si>
  <si>
    <t>AE</t>
  </si>
  <si>
    <t>Arruamento</t>
  </si>
  <si>
    <t>EM</t>
  </si>
  <si>
    <t>EN</t>
  </si>
  <si>
    <t>ER</t>
  </si>
  <si>
    <t>IC</t>
  </si>
  <si>
    <t>IP</t>
  </si>
  <si>
    <t>Com capacete</t>
  </si>
  <si>
    <t>Com cinto de segurança</t>
  </si>
  <si>
    <t>Isento</t>
  </si>
  <si>
    <t>Sem uso de cinto/capacete</t>
  </si>
  <si>
    <t>Outras vias*</t>
  </si>
  <si>
    <t>Regiões</t>
  </si>
  <si>
    <t>Ação</t>
  </si>
  <si>
    <t>Quadro 5.8 Passageiros vítimas em Portugal por natureza do acidente</t>
  </si>
  <si>
    <t>Quadro 6.8 Condutores vítimas em Portugal por natureza do acidente</t>
  </si>
  <si>
    <t xml:space="preserve">Veículos intervenientes </t>
  </si>
  <si>
    <t>Veículo ligeiro</t>
  </si>
  <si>
    <t>Veículo pesado</t>
  </si>
  <si>
    <t>Portugal</t>
  </si>
  <si>
    <t xml:space="preserve">15 a 19 anos </t>
  </si>
  <si>
    <t>&gt; 25 anos</t>
  </si>
  <si>
    <t xml:space="preserve">NUTS I e categoria de veículo </t>
  </si>
  <si>
    <t>20 a 24 anos</t>
  </si>
  <si>
    <t xml:space="preserve">Veículo ligeiro </t>
  </si>
  <si>
    <t xml:space="preserve">Veículo pesado </t>
  </si>
  <si>
    <t>Motociclo &lt;= 125cc</t>
  </si>
  <si>
    <t>Motociclo &gt; 125cc</t>
  </si>
  <si>
    <t xml:space="preserve"> * Inclui acessos, estradas florestais, pontes, variantes e não definidas </t>
  </si>
  <si>
    <t>Categoria de utente</t>
  </si>
  <si>
    <t>Quadro 3.1 Vítimas em Portugal por categoria de utente</t>
  </si>
  <si>
    <t>Quadro 5.1 Passageiros vítimas em Portugal, por NUTS I</t>
  </si>
  <si>
    <t>Quadro 1.1 Sinistralidade em Portugal por mês</t>
  </si>
  <si>
    <t>Quadro 1.2 Sinistralidade em Portugal por dia da semana</t>
  </si>
  <si>
    <t>Quadro 1.3 Sinistralidade em Portugal por período horário</t>
  </si>
  <si>
    <t>Quadro 1.4 Sinistralidade em Portugal por fatores atmosféricos</t>
  </si>
  <si>
    <t>Quadro 1.5 Sinistralidade em Portugal por condições de luminosidade</t>
  </si>
  <si>
    <t>Quadro 1.6 Sinistralidade em Portugal por natureza do acidente</t>
  </si>
  <si>
    <t>Quadro 1.7 Sinistralidade em Portugal por natureza detalhada do acidente</t>
  </si>
  <si>
    <t>Quadro 1.8 Sinistralidade em Portugal por localização do acidente</t>
  </si>
  <si>
    <t>Quadro 1.9 Sinistralidade em Portugal por tipo de via</t>
  </si>
  <si>
    <t>Quadro 2.1 Veículos intervenientes em acidentes com vítimas em Portugal por categoria e natureza do acidente</t>
  </si>
  <si>
    <t>Quadro 2.2 Veículos intervenientes em acidentes com vítimas em Portugal por categoria e idade do veículo</t>
  </si>
  <si>
    <t>Quadro 4.1 Peões vítimas em Portugal por regiões NUTS I</t>
  </si>
  <si>
    <t>Quadro 4.3 Peões vítimas em Portugal por mês</t>
  </si>
  <si>
    <t>Quadro 4.4 Peões vítimas em Portugal por dia da semana</t>
  </si>
  <si>
    <t>Quadro 4.5 Peões vítimas em Portugal por período horário</t>
  </si>
  <si>
    <t>Quadro 4.6 Peões vítimas em Portugal por fatores atmosféricos</t>
  </si>
  <si>
    <t>Quadro 4.7 Peões vítimas em Portugal segundo a luminosidade</t>
  </si>
  <si>
    <t>Quadro 4.8 Peões vítimas em Portugal segundo a localização</t>
  </si>
  <si>
    <t>Quadro 4.9 Peões vítimas em Portugal por tipo de via</t>
  </si>
  <si>
    <t>Quadro 4.11 Peões vítimas em Portugal por ação do peão</t>
  </si>
  <si>
    <t>Quadro 4.12 Peões vítimas em Portugal por sexo</t>
  </si>
  <si>
    <t>Quadro 4.13 Peões vítimas em Portugal por grupo etário</t>
  </si>
  <si>
    <t>∆(%) 23/19</t>
  </si>
  <si>
    <t>Quadro 3.3 Vítimas em Portugal por sexo</t>
  </si>
  <si>
    <t>Quadro 3.4 Vítimas em Portugal por grupo etário</t>
  </si>
  <si>
    <t>Quadro 3.5 Vítimas mortais em Portugal por milhão de habitantes, segundo o grupo etário</t>
  </si>
  <si>
    <t>n.d. - não definido</t>
  </si>
  <si>
    <t>2.ª feira</t>
  </si>
  <si>
    <t>3.ª feira</t>
  </si>
  <si>
    <t>4.ª feira</t>
  </si>
  <si>
    <t>5.ª feira</t>
  </si>
  <si>
    <t>6.ª feira</t>
  </si>
  <si>
    <t>R.A. Açores</t>
  </si>
  <si>
    <t>R.A. Madeira</t>
  </si>
  <si>
    <t>Quadro 2.3 Veículos intervenientes em acidentes com vítimas em Portugal por NUTS I e categoria de veículo</t>
  </si>
  <si>
    <t>Quadro 1.10 Sinistralidade em Portugal por distrito e R.A.</t>
  </si>
  <si>
    <t>Distrito e R.A.</t>
  </si>
  <si>
    <t>Quadro 4.10 Peões vítimas em Portugal por distrito e R.A.</t>
  </si>
  <si>
    <t>Quadro 5.11 Passageiros vítimas em Portugal por distrito e R.A.</t>
  </si>
  <si>
    <t>Quadro 6.11 Condutores vítimas em Portugal por distrito e R.A.</t>
  </si>
  <si>
    <t>∆(%) 24/23</t>
  </si>
  <si>
    <t>∆(%) 24/19</t>
  </si>
  <si>
    <t>Quadro 4.2 Evolução peões vítimas em Portugal, 2019 a 2024</t>
  </si>
  <si>
    <t>&gt;=80</t>
  </si>
  <si>
    <t>75_79</t>
  </si>
  <si>
    <t xml:space="preserve">2024 (%) </t>
  </si>
  <si>
    <t xml:space="preserve">∆(%) 24/23 </t>
  </si>
  <si>
    <t>75-79</t>
  </si>
  <si>
    <t>Quadro 5.2 Passageiros vítimas em Portugal, 2019 a 2024</t>
  </si>
  <si>
    <t>Quadro 6.2 Evolução dos condutores vítimas em Portugal, 2019 a 2024</t>
  </si>
  <si>
    <t>População (2024)</t>
  </si>
  <si>
    <t>Ano 2024</t>
  </si>
  <si>
    <r>
      <rPr>
        <b/>
        <sz val="9"/>
        <color theme="0"/>
        <rFont val="Aptos Narrow"/>
        <family val="2"/>
      </rPr>
      <t>≥</t>
    </r>
    <r>
      <rPr>
        <b/>
        <sz val="9"/>
        <color theme="0"/>
        <rFont val="Avenir Next LT Pro"/>
        <family val="2"/>
      </rPr>
      <t xml:space="preserve"> 25 anos</t>
    </r>
  </si>
  <si>
    <t>* Inclui veículos de tração animal, veículos sobre carris, máquinas industriais e não definidos</t>
  </si>
  <si>
    <r>
      <rPr>
        <sz val="7"/>
        <color rgb="FF000000"/>
        <rFont val="Aptos Narrow"/>
        <family val="2"/>
      </rPr>
      <t>≤</t>
    </r>
    <r>
      <rPr>
        <sz val="8.4"/>
        <color rgb="FF000000"/>
        <rFont val="Avenir Next LT Pro"/>
        <family val="2"/>
      </rPr>
      <t xml:space="preserve"> </t>
    </r>
    <r>
      <rPr>
        <sz val="7"/>
        <color rgb="FF000000"/>
        <rFont val="Avenir Next LT Pro"/>
        <family val="2"/>
      </rPr>
      <t>14</t>
    </r>
  </si>
  <si>
    <r>
      <rPr>
        <sz val="7"/>
        <color rgb="FF000000"/>
        <rFont val="Aptos Narrow"/>
        <family val="2"/>
      </rPr>
      <t>≥</t>
    </r>
    <r>
      <rPr>
        <sz val="8.4"/>
        <color rgb="FF000000"/>
        <rFont val="Avenir Next LT Pro"/>
        <family val="2"/>
      </rPr>
      <t xml:space="preserve"> </t>
    </r>
    <r>
      <rPr>
        <sz val="7"/>
        <color rgb="FF000000"/>
        <rFont val="Avenir Next LT Pro"/>
        <family val="2"/>
      </rPr>
      <t>80</t>
    </r>
  </si>
  <si>
    <t>* Inclui acessos, estradas florestais, pontes, variantes e não definidas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</si>
</sst>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.0%"/>
    <numFmt numFmtId="166" formatCode="0.0"/>
    <numFmt numFmtId="167" formatCode="#,##0.0"/>
  </numFmts>
  <fonts count="6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8"/>
      <name val="Times New Roman"/>
      <family val="1"/>
    </font>
    <font>
      <sz val="8"/>
      <name val="Times New Roman"/>
      <family val="1"/>
    </font>
    <font>
      <u/>
      <sz val="10"/>
      <color indexed="58"/>
      <name val="Arial"/>
      <family val="2"/>
    </font>
    <font>
      <sz val="12"/>
      <name val="Helv"/>
    </font>
    <font>
      <b/>
      <sz val="16"/>
      <name val="Times New Roman"/>
      <family val="1"/>
    </font>
    <font>
      <sz val="9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Avenir Next LT Pro"/>
      <family val="2"/>
    </font>
    <font>
      <b/>
      <sz val="9"/>
      <color theme="0"/>
      <name val="Avenir Next LT Pro"/>
      <family val="2"/>
    </font>
    <font>
      <b/>
      <sz val="9"/>
      <name val="Avenir Next LT Pro"/>
      <family val="2"/>
    </font>
    <font>
      <sz val="9"/>
      <name val="Avenir Next LT Pro"/>
      <family val="2"/>
    </font>
    <font>
      <sz val="9"/>
      <color theme="1"/>
      <name val="Avenir Next LT Pro"/>
      <family val="2"/>
    </font>
    <font>
      <sz val="10"/>
      <color rgb="FF003399"/>
      <name val="Avenir Next LT Pro"/>
      <family val="2"/>
    </font>
    <font>
      <sz val="10"/>
      <color indexed="8"/>
      <name val="Avenir Next LT Pro"/>
      <family val="2"/>
    </font>
    <font>
      <sz val="7"/>
      <color indexed="8"/>
      <name val="Avenir Next LT Pro"/>
      <family val="2"/>
    </font>
    <font>
      <sz val="7"/>
      <color rgb="FF000000"/>
      <name val="Avenir Next LT Pro"/>
      <family val="2"/>
    </font>
    <font>
      <b/>
      <sz val="7"/>
      <color rgb="FF000000"/>
      <name val="Avenir Next LT Pro"/>
      <family val="2"/>
    </font>
    <font>
      <i/>
      <sz val="7"/>
      <color rgb="FF000000"/>
      <name val="Avenir Next LT Pro"/>
      <family val="2"/>
    </font>
    <font>
      <b/>
      <i/>
      <sz val="7"/>
      <color rgb="FF000000"/>
      <name val="Avenir Next LT Pro"/>
      <family val="2"/>
    </font>
    <font>
      <sz val="11"/>
      <color theme="1"/>
      <name val="Avenir Next LT Pro"/>
      <family val="2"/>
    </font>
    <font>
      <sz val="7"/>
      <color rgb="FF003399"/>
      <name val="Avenir Next LT Pro"/>
      <family val="2"/>
    </font>
    <font>
      <sz val="7"/>
      <name val="Avenir Next LT Pro"/>
      <family val="2"/>
    </font>
    <font>
      <sz val="7"/>
      <color theme="1"/>
      <name val="Avenir Next LT Pro"/>
      <family val="2"/>
    </font>
    <font>
      <b/>
      <sz val="7"/>
      <color theme="1"/>
      <name val="Avenir Next LT Pro"/>
      <family val="2"/>
    </font>
    <font>
      <b/>
      <sz val="7"/>
      <color indexed="8"/>
      <name val="Avenir Next LT Pro"/>
      <family val="2"/>
    </font>
    <font>
      <b/>
      <sz val="8"/>
      <color rgb="FF000000"/>
      <name val="Avenir Next LT Pro"/>
      <family val="2"/>
    </font>
    <font>
      <sz val="8"/>
      <color rgb="FF000000"/>
      <name val="Avenir Next LT Pro"/>
      <family val="2"/>
    </font>
    <font>
      <b/>
      <i/>
      <sz val="8"/>
      <color rgb="FF000000"/>
      <name val="Avenir Next LT Pro"/>
      <family val="2"/>
    </font>
    <font>
      <sz val="8"/>
      <color rgb="FF365F91"/>
      <name val="Avenir Next LT Pro"/>
      <family val="2"/>
    </font>
    <font>
      <b/>
      <sz val="7"/>
      <color theme="0"/>
      <name val="Avenir Next LT Pro"/>
      <family val="2"/>
    </font>
    <font>
      <u/>
      <sz val="7"/>
      <name val="Avenir Next LT Pro"/>
      <family val="2"/>
    </font>
    <font>
      <sz val="8"/>
      <color theme="1"/>
      <name val="Avenir Next LT Pro"/>
      <family val="2"/>
    </font>
    <font>
      <i/>
      <sz val="7"/>
      <color theme="1"/>
      <name val="Avenir Next LT Pro"/>
      <family val="2"/>
    </font>
    <font>
      <sz val="7"/>
      <color rgb="FF000000"/>
      <name val="Calibri"/>
      <family val="2"/>
    </font>
    <font>
      <b/>
      <sz val="14"/>
      <color theme="0"/>
      <name val="Avenir Next LT Pro"/>
      <family val="2"/>
    </font>
    <font>
      <b/>
      <sz val="12"/>
      <color rgb="FF0070C0"/>
      <name val="Avenir Next LT Pro"/>
      <family val="2"/>
    </font>
    <font>
      <sz val="10"/>
      <color rgb="FF0070C0"/>
      <name val="Avenir Next LT Pro"/>
      <family val="2"/>
    </font>
    <font>
      <sz val="10"/>
      <name val="Avenir Next LT Pro"/>
      <family val="2"/>
    </font>
    <font>
      <b/>
      <sz val="10"/>
      <color theme="0"/>
      <name val="Avenir Next LT Pro"/>
      <family val="2"/>
    </font>
    <font>
      <u/>
      <sz val="11"/>
      <color rgb="FF0070C0"/>
      <name val="Avenir Next LT Pro"/>
      <family val="2"/>
    </font>
    <font>
      <sz val="11"/>
      <color rgb="FF0070C0"/>
      <name val="Avenir Next LT Pro"/>
      <family val="2"/>
    </font>
    <font>
      <sz val="11"/>
      <color theme="0"/>
      <name val="Avenir Next LT Pro"/>
      <family val="2"/>
    </font>
    <font>
      <b/>
      <sz val="10"/>
      <name val="Avenir Next LT Pro"/>
      <family val="2"/>
    </font>
    <font>
      <sz val="10"/>
      <color theme="1"/>
      <name val="Avenir Next LT Pro"/>
      <family val="2"/>
    </font>
    <font>
      <b/>
      <sz val="6"/>
      <name val="Avenir Next LT Pro"/>
      <family val="2"/>
    </font>
    <font>
      <b/>
      <sz val="9"/>
      <color theme="0"/>
      <name val="Aptos Narrow"/>
      <family val="2"/>
    </font>
    <font>
      <sz val="7"/>
      <color rgb="FF000000"/>
      <name val="Aptos Narrow"/>
      <family val="2"/>
    </font>
    <font>
      <sz val="8.4"/>
      <color rgb="FF000000"/>
      <name val="Avenir Next LT Pro"/>
      <family val="2"/>
    </font>
  </fonts>
  <fills count="6">
    <fill>
      <patternFill patternType="none"/>
    </fill>
    <fill>
      <patternFill patternType="gray125"/>
    </fill>
    <fill>
      <patternFill patternType="mediumGray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rgb="FF4F81BD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/>
      <diagonal/>
    </border>
    <border>
      <left/>
      <right/>
      <top/>
      <bottom style="medium">
        <color rgb="FF4F81BD"/>
      </bottom>
      <diagonal/>
    </border>
    <border>
      <left/>
      <right/>
      <top/>
      <bottom style="thin">
        <color rgb="FF4F81BD"/>
      </bottom>
      <diagonal/>
    </border>
    <border>
      <left style="medium">
        <color rgb="FF4F81BD"/>
      </left>
      <right/>
      <top/>
      <bottom/>
      <diagonal/>
    </border>
    <border>
      <left/>
      <right/>
      <top style="medium">
        <color rgb="FF4F81BD"/>
      </top>
      <bottom style="thin">
        <color rgb="FF4F81BD"/>
      </bottom>
      <diagonal/>
    </border>
    <border>
      <left/>
      <right/>
      <top style="thin">
        <color rgb="FF4F81BD"/>
      </top>
      <bottom/>
      <diagonal/>
    </border>
    <border>
      <left style="thick">
        <color theme="0"/>
      </left>
      <right/>
      <top style="medium">
        <color rgb="FF4F81BD"/>
      </top>
      <bottom style="thin">
        <color rgb="FF4F81BD"/>
      </bottom>
      <diagonal/>
    </border>
    <border>
      <left/>
      <right style="thick">
        <color theme="0"/>
      </right>
      <top style="medium">
        <color rgb="FF4F81BD"/>
      </top>
      <bottom style="thin">
        <color rgb="FF4F81BD"/>
      </bottom>
      <diagonal/>
    </border>
    <border>
      <left style="thick">
        <color theme="0"/>
      </left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ck">
        <color theme="0"/>
      </left>
      <right style="thick">
        <color theme="0"/>
      </right>
      <top style="medium">
        <color rgb="FF4F81BD"/>
      </top>
      <bottom style="thin">
        <color rgb="FF4F81BD"/>
      </bottom>
      <diagonal/>
    </border>
    <border>
      <left/>
      <right style="thick">
        <color theme="0"/>
      </right>
      <top style="thin">
        <color rgb="FF4F81BD"/>
      </top>
      <bottom style="thin">
        <color rgb="FF4F81BD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medium">
        <color rgb="FF0070C0"/>
      </bottom>
      <diagonal/>
    </border>
    <border>
      <left/>
      <right style="thick">
        <color theme="0"/>
      </right>
      <top/>
      <bottom style="medium">
        <color rgb="FF0070C0"/>
      </bottom>
      <diagonal/>
    </border>
    <border>
      <left style="thick">
        <color theme="0"/>
      </left>
      <right/>
      <top style="thin">
        <color rgb="FF4F81BD"/>
      </top>
      <bottom/>
      <diagonal/>
    </border>
    <border>
      <left/>
      <right style="thick">
        <color theme="0"/>
      </right>
      <top style="thin">
        <color rgb="FF4F81BD"/>
      </top>
      <bottom/>
      <diagonal/>
    </border>
    <border>
      <left/>
      <right/>
      <top style="medium">
        <color theme="0"/>
      </top>
      <bottom/>
      <diagonal/>
    </border>
    <border>
      <left style="thin">
        <color rgb="FF4F81BD"/>
      </left>
      <right/>
      <top style="thin">
        <color rgb="FF4F81BD"/>
      </top>
      <bottom style="medium">
        <color rgb="FF0070C0"/>
      </bottom>
      <diagonal/>
    </border>
    <border>
      <left style="medium">
        <color rgb="FF0070C0"/>
      </left>
      <right style="thick">
        <color theme="0"/>
      </right>
      <top/>
      <bottom/>
      <diagonal/>
    </border>
    <border>
      <left style="thin">
        <color rgb="FF0070C0"/>
      </left>
      <right style="thick">
        <color theme="0"/>
      </right>
      <top/>
      <bottom/>
      <diagonal/>
    </border>
    <border>
      <left style="medium">
        <color theme="0"/>
      </left>
      <right/>
      <top style="medium">
        <color rgb="FF4F81BD"/>
      </top>
      <bottom style="thin">
        <color rgb="FF4F81BD"/>
      </bottom>
      <diagonal/>
    </border>
    <border>
      <left/>
      <right style="medium">
        <color theme="0"/>
      </right>
      <top style="medium">
        <color rgb="FF4F81BD"/>
      </top>
      <bottom style="thin">
        <color rgb="FF4F81BD"/>
      </bottom>
      <diagonal/>
    </border>
    <border>
      <left style="medium">
        <color theme="0"/>
      </left>
      <right/>
      <top style="thin">
        <color rgb="FF4F81BD"/>
      </top>
      <bottom/>
      <diagonal/>
    </border>
    <border>
      <left/>
      <right style="medium">
        <color theme="0"/>
      </right>
      <top style="thin">
        <color rgb="FF4F81BD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/>
      <diagonal/>
    </border>
    <border>
      <left style="thick">
        <color theme="0"/>
      </left>
      <right/>
      <top style="thin">
        <color rgb="FF0070C0"/>
      </top>
      <bottom/>
      <diagonal/>
    </border>
    <border>
      <left/>
      <right style="thick">
        <color theme="0"/>
      </right>
      <top style="thin">
        <color rgb="FF0070C0"/>
      </top>
      <bottom/>
      <diagonal/>
    </border>
    <border>
      <left style="thick">
        <color theme="0"/>
      </left>
      <right style="thick">
        <color theme="0"/>
      </right>
      <top style="medium">
        <color rgb="FF4F81BD"/>
      </top>
      <bottom/>
      <diagonal/>
    </border>
    <border>
      <left style="thick">
        <color theme="0"/>
      </left>
      <right style="thick">
        <color theme="0"/>
      </right>
      <top/>
      <bottom style="medium">
        <color rgb="FF0070C0"/>
      </bottom>
      <diagonal/>
    </border>
    <border>
      <left style="thick">
        <color theme="0"/>
      </left>
      <right style="thick">
        <color theme="0"/>
      </right>
      <top/>
      <bottom style="medium">
        <color rgb="FF4F81BD"/>
      </bottom>
      <diagonal/>
    </border>
    <border>
      <left style="thick">
        <color theme="0"/>
      </left>
      <right style="thick">
        <color theme="0"/>
      </right>
      <top style="medium">
        <color rgb="FF4F81BD"/>
      </top>
      <bottom style="medium">
        <color rgb="FF4F81BD"/>
      </bottom>
      <diagonal/>
    </border>
    <border>
      <left style="thin">
        <color rgb="FF0070C0"/>
      </left>
      <right style="thick">
        <color theme="0"/>
      </right>
      <top style="thin">
        <color rgb="FF0070C0"/>
      </top>
      <bottom/>
      <diagonal/>
    </border>
    <border>
      <left style="thin">
        <color rgb="FF0070C0"/>
      </left>
      <right style="thick">
        <color theme="0"/>
      </right>
      <top/>
      <bottom style="thin">
        <color rgb="FF0070C0"/>
      </bottom>
      <diagonal/>
    </border>
    <border>
      <left style="thick">
        <color theme="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ck">
        <color theme="0"/>
      </right>
      <top/>
      <bottom style="thin">
        <color rgb="FF0070C0"/>
      </bottom>
      <diagonal/>
    </border>
    <border>
      <left style="medium">
        <color rgb="FF0070C0"/>
      </left>
      <right style="thick">
        <color theme="0"/>
      </right>
      <top style="thin">
        <color rgb="FF0070C0"/>
      </top>
      <bottom/>
      <diagonal/>
    </border>
    <border>
      <left style="medium">
        <color rgb="FF0070C0"/>
      </left>
      <right style="thick">
        <color theme="0"/>
      </right>
      <top/>
      <bottom style="thin">
        <color rgb="FF0070C0"/>
      </bottom>
      <diagonal/>
    </border>
    <border>
      <left/>
      <right style="thick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thin">
        <color rgb="FF0070C0"/>
      </bottom>
      <diagonal/>
    </border>
    <border>
      <left style="medium">
        <color theme="0"/>
      </left>
      <right/>
      <top style="thin">
        <color rgb="FF0070C0"/>
      </top>
      <bottom/>
      <diagonal/>
    </border>
    <border>
      <left/>
      <right style="medium">
        <color theme="0"/>
      </right>
      <top style="thin">
        <color rgb="FF0070C0"/>
      </top>
      <bottom/>
      <diagonal/>
    </border>
    <border>
      <left style="medium">
        <color rgb="FF4F81BD"/>
      </left>
      <right/>
      <top style="thin">
        <color rgb="FF0070C0"/>
      </top>
      <bottom/>
      <diagonal/>
    </border>
    <border>
      <left style="thick">
        <color theme="0"/>
      </left>
      <right/>
      <top style="thin">
        <color rgb="FF4F81BD"/>
      </top>
      <bottom style="thin">
        <color rgb="FF0070C0"/>
      </bottom>
      <diagonal/>
    </border>
    <border>
      <left/>
      <right/>
      <top style="thin">
        <color rgb="FF4F81BD"/>
      </top>
      <bottom style="thin">
        <color rgb="FF0070C0"/>
      </bottom>
      <diagonal/>
    </border>
    <border>
      <left/>
      <right style="thick">
        <color theme="0"/>
      </right>
      <top style="thin">
        <color rgb="FF4F81BD"/>
      </top>
      <bottom style="thin">
        <color rgb="FF0070C0"/>
      </bottom>
      <diagonal/>
    </border>
    <border>
      <left style="thick">
        <color theme="0"/>
      </left>
      <right style="thick">
        <color theme="0"/>
      </right>
      <top style="thin">
        <color rgb="FF0070C0"/>
      </top>
      <bottom style="thick">
        <color theme="0"/>
      </bottom>
      <diagonal/>
    </border>
    <border>
      <left style="thick">
        <color theme="0"/>
      </left>
      <right/>
      <top style="thin">
        <color rgb="FF0070C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medium">
        <color rgb="FF0070C0"/>
      </top>
      <bottom/>
      <diagonal/>
    </border>
    <border>
      <left/>
      <right style="thick">
        <color theme="0"/>
      </right>
      <top style="thin">
        <color rgb="FF0070C0"/>
      </top>
      <bottom style="medium">
        <color rgb="FF0070C0"/>
      </bottom>
      <diagonal/>
    </border>
    <border>
      <left style="thick">
        <color theme="0"/>
      </left>
      <right style="thick">
        <color theme="0"/>
      </right>
      <top style="thin">
        <color rgb="FF4F81BD"/>
      </top>
      <bottom style="thin">
        <color rgb="FF4F81BD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rgb="FF0070C0"/>
      </top>
      <bottom style="medium">
        <color rgb="FF0070C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78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1" applyNumberFormat="0" applyBorder="0" applyProtection="0">
      <alignment horizont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Fill="0" applyBorder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2" applyNumberFormat="0" applyBorder="0" applyProtection="0">
      <alignment horizontal="center"/>
    </xf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0" fillId="0" borderId="0" applyNumberFormat="0" applyFill="0" applyProtection="0"/>
    <xf numFmtId="0" fontId="6" fillId="0" borderId="0" applyNumberFormat="0" applyFill="0" applyBorder="0" applyProtection="0">
      <alignment horizontal="left"/>
    </xf>
    <xf numFmtId="0" fontId="1" fillId="0" borderId="0"/>
    <xf numFmtId="0" fontId="1" fillId="0" borderId="0"/>
    <xf numFmtId="0" fontId="14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0" fontId="14" fillId="0" borderId="0"/>
    <xf numFmtId="0" fontId="1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6" fillId="0" borderId="0"/>
    <xf numFmtId="0" fontId="16" fillId="0" borderId="0"/>
    <xf numFmtId="0" fontId="14" fillId="0" borderId="0"/>
    <xf numFmtId="0" fontId="6" fillId="2" borderId="2" applyNumberFormat="0" applyBorder="0" applyProtection="0">
      <alignment horizont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Protection="0">
      <alignment horizontal="left"/>
    </xf>
    <xf numFmtId="0" fontId="1" fillId="0" borderId="0"/>
    <xf numFmtId="0" fontId="18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14" fillId="0" borderId="0"/>
    <xf numFmtId="44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40">
    <xf numFmtId="0" fontId="0" fillId="0" borderId="0" xfId="0"/>
    <xf numFmtId="0" fontId="20" fillId="0" borderId="0" xfId="0" applyFont="1"/>
    <xf numFmtId="0" fontId="22" fillId="4" borderId="12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1" fontId="22" fillId="4" borderId="16" xfId="0" applyNumberFormat="1" applyFont="1" applyFill="1" applyBorder="1" applyAlignment="1">
      <alignment horizontal="left" vertical="center" wrapText="1"/>
    </xf>
    <xf numFmtId="1" fontId="23" fillId="4" borderId="15" xfId="0" applyNumberFormat="1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5" fillId="0" borderId="0" xfId="21" applyFont="1" applyAlignment="1">
      <alignment horizontal="center" vertical="center" wrapText="1"/>
    </xf>
    <xf numFmtId="0" fontId="26" fillId="0" borderId="0" xfId="21" applyFont="1"/>
    <xf numFmtId="14" fontId="27" fillId="0" borderId="0" xfId="21" applyNumberFormat="1" applyFont="1" applyAlignment="1">
      <alignment horizontal="left"/>
    </xf>
    <xf numFmtId="166" fontId="27" fillId="0" borderId="0" xfId="21" applyNumberFormat="1" applyFont="1"/>
    <xf numFmtId="0" fontId="27" fillId="0" borderId="0" xfId="21" applyFont="1"/>
    <xf numFmtId="3" fontId="28" fillId="0" borderId="0" xfId="0" applyNumberFormat="1" applyFont="1" applyAlignment="1">
      <alignment horizontal="right" vertical="center" wrapText="1"/>
    </xf>
    <xf numFmtId="165" fontId="28" fillId="0" borderId="0" xfId="226" applyNumberFormat="1" applyFont="1" applyBorder="1" applyAlignment="1">
      <alignment horizontal="right" vertical="center" wrapText="1"/>
    </xf>
    <xf numFmtId="165" fontId="30" fillId="0" borderId="0" xfId="226" applyNumberFormat="1" applyFont="1" applyBorder="1" applyAlignment="1">
      <alignment horizontal="right" vertical="center" wrapText="1"/>
    </xf>
    <xf numFmtId="3" fontId="29" fillId="0" borderId="17" xfId="0" applyNumberFormat="1" applyFont="1" applyBorder="1" applyAlignment="1">
      <alignment horizontal="right" vertical="center" wrapText="1"/>
    </xf>
    <xf numFmtId="165" fontId="31" fillId="0" borderId="17" xfId="226" applyNumberFormat="1" applyFont="1" applyBorder="1" applyAlignment="1">
      <alignment horizontal="right" vertical="center" wrapText="1"/>
    </xf>
    <xf numFmtId="3" fontId="28" fillId="0" borderId="9" xfId="0" applyNumberFormat="1" applyFont="1" applyBorder="1" applyAlignment="1">
      <alignment horizontal="right" vertical="center" wrapText="1"/>
    </xf>
    <xf numFmtId="165" fontId="30" fillId="0" borderId="9" xfId="226" applyNumberFormat="1" applyFont="1" applyBorder="1" applyAlignment="1">
      <alignment horizontal="right" vertical="center" wrapText="1"/>
    </xf>
    <xf numFmtId="0" fontId="22" fillId="4" borderId="19" xfId="0" applyFont="1" applyFill="1" applyBorder="1" applyAlignment="1">
      <alignment horizontal="center" vertical="center" wrapText="1"/>
    </xf>
    <xf numFmtId="3" fontId="28" fillId="0" borderId="20" xfId="0" applyNumberFormat="1" applyFont="1" applyBorder="1" applyAlignment="1">
      <alignment horizontal="right" vertical="center" wrapText="1"/>
    </xf>
    <xf numFmtId="165" fontId="30" fillId="0" borderId="21" xfId="226" applyNumberFormat="1" applyFont="1" applyBorder="1" applyAlignment="1">
      <alignment horizontal="right" vertical="center" wrapText="1"/>
    </xf>
    <xf numFmtId="3" fontId="29" fillId="0" borderId="22" xfId="0" applyNumberFormat="1" applyFont="1" applyBorder="1" applyAlignment="1">
      <alignment horizontal="right" vertical="center" wrapText="1"/>
    </xf>
    <xf numFmtId="165" fontId="31" fillId="0" borderId="23" xfId="226" applyNumberFormat="1" applyFont="1" applyBorder="1" applyAlignment="1">
      <alignment horizontal="right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right" vertical="center" wrapText="1"/>
    </xf>
    <xf numFmtId="0" fontId="29" fillId="0" borderId="17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right" vertical="center" wrapText="1"/>
    </xf>
    <xf numFmtId="0" fontId="25" fillId="0" borderId="0" xfId="21" applyFont="1" applyAlignment="1">
      <alignment horizontal="left" vertical="center"/>
    </xf>
    <xf numFmtId="165" fontId="29" fillId="0" borderId="17" xfId="226" applyNumberFormat="1" applyFont="1" applyBorder="1" applyAlignment="1">
      <alignment horizontal="right" vertical="center" wrapText="1"/>
    </xf>
    <xf numFmtId="165" fontId="28" fillId="0" borderId="21" xfId="226" applyNumberFormat="1" applyFont="1" applyBorder="1" applyAlignment="1">
      <alignment horizontal="right" vertical="center" wrapText="1"/>
    </xf>
    <xf numFmtId="165" fontId="29" fillId="0" borderId="23" xfId="226" applyNumberFormat="1" applyFont="1" applyBorder="1" applyAlignment="1">
      <alignment horizontal="right" vertical="center" wrapText="1"/>
    </xf>
    <xf numFmtId="0" fontId="32" fillId="0" borderId="0" xfId="0" applyFont="1" applyAlignment="1">
      <alignment horizontal="left"/>
    </xf>
    <xf numFmtId="165" fontId="30" fillId="0" borderId="0" xfId="226" applyNumberFormat="1" applyFont="1" applyFill="1" applyBorder="1" applyAlignment="1">
      <alignment horizontal="right" vertical="center" wrapText="1"/>
    </xf>
    <xf numFmtId="165" fontId="30" fillId="0" borderId="21" xfId="226" applyNumberFormat="1" applyFont="1" applyFill="1" applyBorder="1" applyAlignment="1">
      <alignment horizontal="right" vertical="center" wrapText="1"/>
    </xf>
    <xf numFmtId="0" fontId="25" fillId="0" borderId="0" xfId="21" applyFont="1" applyAlignment="1">
      <alignment horizontal="center" vertical="center"/>
    </xf>
    <xf numFmtId="0" fontId="32" fillId="0" borderId="0" xfId="0" applyFont="1"/>
    <xf numFmtId="0" fontId="33" fillId="0" borderId="0" xfId="21" applyFont="1" applyAlignment="1">
      <alignment horizontal="left" vertical="center"/>
    </xf>
    <xf numFmtId="0" fontId="36" fillId="0" borderId="27" xfId="0" applyFont="1" applyBorder="1"/>
    <xf numFmtId="0" fontId="35" fillId="0" borderId="0" xfId="0" applyFont="1"/>
    <xf numFmtId="0" fontId="22" fillId="4" borderId="14" xfId="0" applyFont="1" applyFill="1" applyBorder="1" applyAlignment="1">
      <alignment horizontal="center" vertical="center" wrapText="1"/>
    </xf>
    <xf numFmtId="0" fontId="35" fillId="0" borderId="29" xfId="0" applyFont="1" applyBorder="1" applyAlignment="1">
      <alignment horizontal="left" vertical="center" wrapText="1"/>
    </xf>
    <xf numFmtId="0" fontId="28" fillId="0" borderId="28" xfId="0" applyFont="1" applyBorder="1" applyAlignment="1">
      <alignment horizontal="left" vertical="center" wrapText="1"/>
    </xf>
    <xf numFmtId="165" fontId="30" fillId="0" borderId="21" xfId="0" applyNumberFormat="1" applyFont="1" applyBorder="1" applyAlignment="1">
      <alignment horizontal="right" vertical="center" wrapText="1"/>
    </xf>
    <xf numFmtId="165" fontId="30" fillId="0" borderId="0" xfId="0" applyNumberFormat="1" applyFont="1" applyAlignment="1">
      <alignment horizontal="right" vertical="center" wrapText="1"/>
    </xf>
    <xf numFmtId="165" fontId="31" fillId="0" borderId="23" xfId="0" applyNumberFormat="1" applyFont="1" applyBorder="1" applyAlignment="1">
      <alignment horizontal="right" vertical="center" wrapText="1"/>
    </xf>
    <xf numFmtId="165" fontId="31" fillId="0" borderId="17" xfId="0" applyNumberFormat="1" applyFont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3" fontId="28" fillId="0" borderId="7" xfId="0" applyNumberFormat="1" applyFont="1" applyBorder="1" applyAlignment="1">
      <alignment horizontal="right" vertical="center" wrapText="1"/>
    </xf>
    <xf numFmtId="0" fontId="28" fillId="0" borderId="7" xfId="0" applyFont="1" applyBorder="1" applyAlignment="1">
      <alignment horizontal="right" vertical="center" wrapText="1"/>
    </xf>
    <xf numFmtId="0" fontId="37" fillId="0" borderId="0" xfId="21" applyFont="1"/>
    <xf numFmtId="3" fontId="28" fillId="0" borderId="21" xfId="0" applyNumberFormat="1" applyFont="1" applyBorder="1" applyAlignment="1">
      <alignment horizontal="right" vertical="center" wrapText="1"/>
    </xf>
    <xf numFmtId="3" fontId="29" fillId="0" borderId="23" xfId="0" applyNumberFormat="1" applyFont="1" applyBorder="1" applyAlignment="1">
      <alignment horizontal="right" vertical="center" wrapText="1"/>
    </xf>
    <xf numFmtId="3" fontId="29" fillId="0" borderId="16" xfId="0" applyNumberFormat="1" applyFont="1" applyBorder="1" applyAlignment="1">
      <alignment horizontal="right" vertical="center" wrapText="1"/>
    </xf>
    <xf numFmtId="3" fontId="29" fillId="0" borderId="35" xfId="0" applyNumberFormat="1" applyFont="1" applyBorder="1" applyAlignment="1">
      <alignment horizontal="right" vertical="center" wrapText="1"/>
    </xf>
    <xf numFmtId="165" fontId="31" fillId="0" borderId="0" xfId="0" applyNumberFormat="1" applyFont="1" applyAlignment="1">
      <alignment horizontal="right" vertical="center" wrapText="1"/>
    </xf>
    <xf numFmtId="0" fontId="41" fillId="0" borderId="0" xfId="0" applyFont="1" applyAlignment="1">
      <alignment horizontal="center" vertical="center" wrapText="1"/>
    </xf>
    <xf numFmtId="3" fontId="28" fillId="0" borderId="0" xfId="0" applyNumberFormat="1" applyFont="1" applyAlignment="1">
      <alignment vertical="center" wrapText="1"/>
    </xf>
    <xf numFmtId="10" fontId="28" fillId="0" borderId="0" xfId="0" applyNumberFormat="1" applyFont="1" applyAlignment="1">
      <alignment vertical="center" wrapText="1"/>
    </xf>
    <xf numFmtId="0" fontId="28" fillId="0" borderId="0" xfId="0" applyFont="1" applyAlignment="1">
      <alignment vertical="center" wrapText="1"/>
    </xf>
    <xf numFmtId="3" fontId="29" fillId="0" borderId="9" xfId="0" applyNumberFormat="1" applyFont="1" applyBorder="1" applyAlignment="1">
      <alignment horizontal="right" vertical="center" wrapText="1"/>
    </xf>
    <xf numFmtId="3" fontId="29" fillId="0" borderId="0" xfId="0" applyNumberFormat="1" applyFont="1" applyAlignment="1">
      <alignment horizontal="right" vertical="center" wrapText="1"/>
    </xf>
    <xf numFmtId="3" fontId="29" fillId="0" borderId="20" xfId="0" applyNumberFormat="1" applyFont="1" applyBorder="1" applyAlignment="1">
      <alignment horizontal="right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 wrapText="1"/>
    </xf>
    <xf numFmtId="3" fontId="28" fillId="0" borderId="38" xfId="0" applyNumberFormat="1" applyFont="1" applyBorder="1" applyAlignment="1">
      <alignment horizontal="right" vertical="center" wrapText="1"/>
    </xf>
    <xf numFmtId="3" fontId="28" fillId="0" borderId="37" xfId="0" applyNumberFormat="1" applyFont="1" applyBorder="1" applyAlignment="1">
      <alignment horizontal="right" vertical="center" wrapText="1"/>
    </xf>
    <xf numFmtId="165" fontId="28" fillId="0" borderId="39" xfId="226" applyNumberFormat="1" applyFont="1" applyBorder="1" applyAlignment="1">
      <alignment horizontal="right" vertical="center" wrapText="1"/>
    </xf>
    <xf numFmtId="165" fontId="28" fillId="0" borderId="37" xfId="226" applyNumberFormat="1" applyFont="1" applyBorder="1" applyAlignment="1">
      <alignment horizontal="right" vertical="center" wrapText="1"/>
    </xf>
    <xf numFmtId="167" fontId="28" fillId="0" borderId="38" xfId="0" applyNumberFormat="1" applyFont="1" applyBorder="1" applyAlignment="1">
      <alignment horizontal="right" vertical="center" wrapText="1"/>
    </xf>
    <xf numFmtId="167" fontId="28" fillId="0" borderId="37" xfId="0" applyNumberFormat="1" applyFont="1" applyBorder="1" applyAlignment="1">
      <alignment horizontal="right" vertical="center" wrapText="1"/>
    </xf>
    <xf numFmtId="167" fontId="28" fillId="0" borderId="39" xfId="0" applyNumberFormat="1" applyFont="1" applyBorder="1" applyAlignment="1">
      <alignment horizontal="right" vertical="center" wrapText="1"/>
    </xf>
    <xf numFmtId="167" fontId="28" fillId="0" borderId="20" xfId="0" applyNumberFormat="1" applyFont="1" applyBorder="1" applyAlignment="1">
      <alignment horizontal="right" vertical="center" wrapText="1"/>
    </xf>
    <xf numFmtId="167" fontId="28" fillId="0" borderId="0" xfId="0" applyNumberFormat="1" applyFont="1" applyAlignment="1">
      <alignment horizontal="right" vertical="center" wrapText="1"/>
    </xf>
    <xf numFmtId="167" fontId="28" fillId="0" borderId="21" xfId="0" applyNumberFormat="1" applyFont="1" applyBorder="1" applyAlignment="1">
      <alignment horizontal="right" vertical="center" wrapText="1"/>
    </xf>
    <xf numFmtId="167" fontId="29" fillId="0" borderId="22" xfId="0" applyNumberFormat="1" applyFont="1" applyBorder="1" applyAlignment="1">
      <alignment horizontal="right" vertical="center" wrapText="1"/>
    </xf>
    <xf numFmtId="167" fontId="29" fillId="0" borderId="17" xfId="0" applyNumberFormat="1" applyFont="1" applyBorder="1" applyAlignment="1">
      <alignment horizontal="right" vertical="center" wrapText="1"/>
    </xf>
    <xf numFmtId="167" fontId="29" fillId="0" borderId="23" xfId="0" applyNumberFormat="1" applyFont="1" applyBorder="1" applyAlignment="1">
      <alignment horizontal="right" vertical="center" wrapText="1"/>
    </xf>
    <xf numFmtId="165" fontId="30" fillId="0" borderId="39" xfId="226" applyNumberFormat="1" applyFont="1" applyBorder="1" applyAlignment="1">
      <alignment horizontal="right" vertical="center" wrapText="1"/>
    </xf>
    <xf numFmtId="165" fontId="30" fillId="0" borderId="37" xfId="226" applyNumberFormat="1" applyFont="1" applyBorder="1" applyAlignment="1">
      <alignment horizontal="right" vertical="center" wrapText="1"/>
    </xf>
    <xf numFmtId="165" fontId="30" fillId="0" borderId="20" xfId="226" applyNumberFormat="1" applyFont="1" applyBorder="1" applyAlignment="1">
      <alignment horizontal="right" vertical="center" wrapText="1"/>
    </xf>
    <xf numFmtId="165" fontId="30" fillId="0" borderId="15" xfId="226" applyNumberFormat="1" applyFont="1" applyBorder="1" applyAlignment="1">
      <alignment horizontal="right" vertical="center" wrapText="1"/>
    </xf>
    <xf numFmtId="165" fontId="30" fillId="0" borderId="34" xfId="226" applyNumberFormat="1" applyFont="1" applyBorder="1" applyAlignment="1">
      <alignment horizontal="right" vertical="center" wrapText="1"/>
    </xf>
    <xf numFmtId="165" fontId="31" fillId="0" borderId="22" xfId="226" applyNumberFormat="1" applyFont="1" applyBorder="1" applyAlignment="1">
      <alignment horizontal="right" vertical="center" wrapText="1"/>
    </xf>
    <xf numFmtId="0" fontId="28" fillId="0" borderId="37" xfId="0" applyFont="1" applyBorder="1" applyAlignment="1">
      <alignment horizontal="right" vertical="center" wrapText="1"/>
    </xf>
    <xf numFmtId="0" fontId="28" fillId="0" borderId="38" xfId="0" applyFont="1" applyBorder="1" applyAlignment="1">
      <alignment horizontal="right" vertical="center" wrapText="1"/>
    </xf>
    <xf numFmtId="0" fontId="35" fillId="0" borderId="0" xfId="0" applyFont="1" applyAlignment="1">
      <alignment vertical="center" wrapText="1"/>
    </xf>
    <xf numFmtId="166" fontId="35" fillId="0" borderId="4" xfId="0" applyNumberFormat="1" applyFont="1" applyBorder="1"/>
    <xf numFmtId="0" fontId="35" fillId="0" borderId="0" xfId="0" applyFont="1" applyAlignment="1">
      <alignment horizontal="justify" vertical="center"/>
    </xf>
    <xf numFmtId="0" fontId="43" fillId="0" borderId="0" xfId="238" applyFont="1" applyAlignment="1" applyProtection="1">
      <alignment vertical="center"/>
    </xf>
    <xf numFmtId="3" fontId="28" fillId="0" borderId="4" xfId="0" applyNumberFormat="1" applyFont="1" applyBorder="1" applyAlignment="1">
      <alignment horizontal="right" vertical="center"/>
    </xf>
    <xf numFmtId="0" fontId="28" fillId="0" borderId="4" xfId="0" applyFont="1" applyBorder="1" applyAlignment="1">
      <alignment horizontal="right" vertical="center"/>
    </xf>
    <xf numFmtId="3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166" fontId="35" fillId="0" borderId="0" xfId="0" applyNumberFormat="1" applyFont="1"/>
    <xf numFmtId="166" fontId="36" fillId="0" borderId="17" xfId="0" applyNumberFormat="1" applyFont="1" applyBorder="1"/>
    <xf numFmtId="3" fontId="36" fillId="0" borderId="41" xfId="0" applyNumberFormat="1" applyFont="1" applyBorder="1"/>
    <xf numFmtId="0" fontId="42" fillId="3" borderId="43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35" fillId="0" borderId="17" xfId="0" applyFont="1" applyBorder="1" applyAlignment="1">
      <alignment horizontal="left" vertical="center"/>
    </xf>
    <xf numFmtId="3" fontId="28" fillId="0" borderId="17" xfId="0" applyNumberFormat="1" applyFont="1" applyBorder="1" applyAlignment="1">
      <alignment horizontal="right" vertical="center"/>
    </xf>
    <xf numFmtId="0" fontId="25" fillId="0" borderId="0" xfId="21" applyFont="1" applyAlignment="1">
      <alignment horizontal="left" vertical="center" wrapText="1"/>
    </xf>
    <xf numFmtId="0" fontId="32" fillId="0" borderId="0" xfId="0" applyFont="1" applyAlignment="1">
      <alignment horizontal="left" wrapText="1"/>
    </xf>
    <xf numFmtId="0" fontId="44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37" xfId="0" applyFont="1" applyBorder="1" applyAlignment="1">
      <alignment horizontal="right" vertical="center"/>
    </xf>
    <xf numFmtId="0" fontId="45" fillId="0" borderId="0" xfId="0" applyFont="1"/>
    <xf numFmtId="0" fontId="25" fillId="0" borderId="0" xfId="21" applyFont="1" applyAlignment="1">
      <alignment vertical="center"/>
    </xf>
    <xf numFmtId="3" fontId="28" fillId="0" borderId="37" xfId="0" applyNumberFormat="1" applyFont="1" applyBorder="1" applyAlignment="1">
      <alignment horizontal="right" vertical="center"/>
    </xf>
    <xf numFmtId="165" fontId="30" fillId="0" borderId="37" xfId="226" applyNumberFormat="1" applyFont="1" applyBorder="1" applyAlignment="1">
      <alignment horizontal="right" vertical="center"/>
    </xf>
    <xf numFmtId="165" fontId="30" fillId="0" borderId="0" xfId="226" applyNumberFormat="1" applyFont="1" applyBorder="1" applyAlignment="1">
      <alignment horizontal="right" vertical="center"/>
    </xf>
    <xf numFmtId="165" fontId="30" fillId="0" borderId="21" xfId="226" applyNumberFormat="1" applyFont="1" applyBorder="1" applyAlignment="1">
      <alignment horizontal="right" vertical="center"/>
    </xf>
    <xf numFmtId="0" fontId="36" fillId="0" borderId="29" xfId="0" applyFont="1" applyBorder="1" applyAlignment="1">
      <alignment horizontal="left" vertical="center" wrapText="1"/>
    </xf>
    <xf numFmtId="165" fontId="31" fillId="0" borderId="21" xfId="226" applyNumberFormat="1" applyFont="1" applyBorder="1" applyAlignment="1">
      <alignment horizontal="right" vertical="center" wrapText="1"/>
    </xf>
    <xf numFmtId="165" fontId="31" fillId="0" borderId="0" xfId="226" applyNumberFormat="1" applyFont="1" applyBorder="1" applyAlignment="1">
      <alignment horizontal="right" vertical="center" wrapText="1"/>
    </xf>
    <xf numFmtId="0" fontId="36" fillId="0" borderId="41" xfId="0" applyFont="1" applyBorder="1" applyAlignment="1">
      <alignment horizontal="center" vertical="center"/>
    </xf>
    <xf numFmtId="0" fontId="35" fillId="0" borderId="44" xfId="0" applyFont="1" applyBorder="1" applyAlignment="1">
      <alignment horizontal="left" vertical="center" wrapText="1"/>
    </xf>
    <xf numFmtId="0" fontId="36" fillId="0" borderId="45" xfId="0" applyFont="1" applyBorder="1" applyAlignment="1">
      <alignment horizontal="left" vertical="center" wrapText="1"/>
    </xf>
    <xf numFmtId="3" fontId="29" fillId="0" borderId="46" xfId="0" applyNumberFormat="1" applyFont="1" applyBorder="1" applyAlignment="1">
      <alignment horizontal="right" vertical="center" wrapText="1"/>
    </xf>
    <xf numFmtId="3" fontId="29" fillId="0" borderId="47" xfId="0" applyNumberFormat="1" applyFont="1" applyBorder="1" applyAlignment="1">
      <alignment horizontal="right" vertical="center" wrapText="1"/>
    </xf>
    <xf numFmtId="165" fontId="31" fillId="0" borderId="48" xfId="226" applyNumberFormat="1" applyFont="1" applyBorder="1" applyAlignment="1">
      <alignment horizontal="right" vertical="center" wrapText="1"/>
    </xf>
    <xf numFmtId="165" fontId="31" fillId="0" borderId="47" xfId="226" applyNumberFormat="1" applyFont="1" applyBorder="1" applyAlignment="1">
      <alignment horizontal="right" vertical="center" wrapText="1"/>
    </xf>
    <xf numFmtId="0" fontId="28" fillId="0" borderId="49" xfId="0" applyFont="1" applyBorder="1" applyAlignment="1">
      <alignment horizontal="left" vertical="center" wrapText="1"/>
    </xf>
    <xf numFmtId="165" fontId="30" fillId="0" borderId="39" xfId="0" applyNumberFormat="1" applyFont="1" applyBorder="1" applyAlignment="1">
      <alignment horizontal="right" vertical="center" wrapText="1"/>
    </xf>
    <xf numFmtId="165" fontId="30" fillId="0" borderId="37" xfId="0" applyNumberFormat="1" applyFont="1" applyBorder="1" applyAlignment="1">
      <alignment horizontal="right" vertical="center" wrapText="1"/>
    </xf>
    <xf numFmtId="0" fontId="29" fillId="0" borderId="50" xfId="0" applyFont="1" applyBorder="1" applyAlignment="1">
      <alignment horizontal="left" vertical="center" wrapText="1"/>
    </xf>
    <xf numFmtId="165" fontId="31" fillId="0" borderId="48" xfId="0" applyNumberFormat="1" applyFont="1" applyBorder="1" applyAlignment="1">
      <alignment horizontal="right" vertical="center" wrapText="1"/>
    </xf>
    <xf numFmtId="165" fontId="31" fillId="0" borderId="47" xfId="0" applyNumberFormat="1" applyFont="1" applyBorder="1" applyAlignment="1">
      <alignment horizontal="right" vertical="center" wrapText="1"/>
    </xf>
    <xf numFmtId="0" fontId="29" fillId="0" borderId="28" xfId="0" applyFont="1" applyBorder="1" applyAlignment="1">
      <alignment horizontal="left" vertical="center" wrapText="1"/>
    </xf>
    <xf numFmtId="165" fontId="31" fillId="0" borderId="21" xfId="0" applyNumberFormat="1" applyFont="1" applyBorder="1" applyAlignment="1">
      <alignment horizontal="right" vertical="center" wrapText="1"/>
    </xf>
    <xf numFmtId="0" fontId="22" fillId="4" borderId="14" xfId="0" applyFont="1" applyFill="1" applyBorder="1" applyAlignment="1">
      <alignment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165" fontId="30" fillId="0" borderId="38" xfId="226" applyNumberFormat="1" applyFont="1" applyBorder="1" applyAlignment="1">
      <alignment horizontal="right" vertical="center" wrapText="1"/>
    </xf>
    <xf numFmtId="165" fontId="30" fillId="0" borderId="53" xfId="226" applyNumberFormat="1" applyFont="1" applyBorder="1" applyAlignment="1">
      <alignment horizontal="right" vertical="center" wrapText="1"/>
    </xf>
    <xf numFmtId="165" fontId="30" fillId="0" borderId="54" xfId="226" applyNumberFormat="1" applyFont="1" applyBorder="1" applyAlignment="1">
      <alignment horizontal="right" vertical="center" wrapText="1"/>
    </xf>
    <xf numFmtId="3" fontId="46" fillId="0" borderId="0" xfId="0" applyNumberFormat="1" applyFont="1" applyAlignment="1">
      <alignment horizontal="right" vertical="center" wrapText="1"/>
    </xf>
    <xf numFmtId="0" fontId="46" fillId="0" borderId="0" xfId="0" applyFont="1" applyAlignment="1">
      <alignment horizontal="right" vertical="center" wrapText="1"/>
    </xf>
    <xf numFmtId="0" fontId="22" fillId="4" borderId="56" xfId="0" applyFont="1" applyFill="1" applyBorder="1" applyAlignment="1">
      <alignment horizontal="center" vertical="center" wrapText="1"/>
    </xf>
    <xf numFmtId="0" fontId="22" fillId="4" borderId="57" xfId="0" applyFont="1" applyFill="1" applyBorder="1" applyAlignment="1">
      <alignment horizontal="center" vertical="center" wrapText="1"/>
    </xf>
    <xf numFmtId="0" fontId="22" fillId="4" borderId="58" xfId="0" applyFont="1" applyFill="1" applyBorder="1" applyAlignment="1">
      <alignment horizontal="center" vertical="center" wrapText="1"/>
    </xf>
    <xf numFmtId="3" fontId="28" fillId="0" borderId="59" xfId="0" applyNumberFormat="1" applyFont="1" applyBorder="1" applyAlignment="1">
      <alignment horizontal="right" vertical="center" wrapText="1"/>
    </xf>
    <xf numFmtId="3" fontId="28" fillId="0" borderId="60" xfId="0" applyNumberFormat="1" applyFont="1" applyBorder="1" applyAlignment="1">
      <alignment horizontal="right" vertical="center" wrapText="1"/>
    </xf>
    <xf numFmtId="3" fontId="28" fillId="0" borderId="61" xfId="0" applyNumberFormat="1" applyFont="1" applyBorder="1" applyAlignment="1">
      <alignment horizontal="right" vertical="center" wrapText="1"/>
    </xf>
    <xf numFmtId="3" fontId="28" fillId="0" borderId="62" xfId="0" applyNumberFormat="1" applyFont="1" applyBorder="1" applyAlignment="1">
      <alignment horizontal="right" vertical="center" wrapText="1"/>
    </xf>
    <xf numFmtId="3" fontId="28" fillId="0" borderId="63" xfId="0" applyNumberFormat="1" applyFont="1" applyBorder="1" applyAlignment="1">
      <alignment horizontal="right" vertical="center" wrapText="1"/>
    </xf>
    <xf numFmtId="3" fontId="28" fillId="0" borderId="64" xfId="0" applyNumberFormat="1" applyFont="1" applyBorder="1" applyAlignment="1">
      <alignment horizontal="right" vertical="center" wrapText="1"/>
    </xf>
    <xf numFmtId="3" fontId="29" fillId="0" borderId="65" xfId="0" applyNumberFormat="1" applyFont="1" applyBorder="1" applyAlignment="1">
      <alignment horizontal="right" vertical="center" wrapText="1"/>
    </xf>
    <xf numFmtId="165" fontId="31" fillId="0" borderId="36" xfId="0" applyNumberFormat="1" applyFont="1" applyBorder="1" applyAlignment="1">
      <alignment horizontal="right" vertical="center" wrapText="1"/>
    </xf>
    <xf numFmtId="3" fontId="28" fillId="0" borderId="66" xfId="0" applyNumberFormat="1" applyFont="1" applyBorder="1" applyAlignment="1">
      <alignment horizontal="right" vertical="center" wrapText="1"/>
    </xf>
    <xf numFmtId="3" fontId="28" fillId="0" borderId="55" xfId="0" applyNumberFormat="1" applyFont="1" applyBorder="1" applyAlignment="1">
      <alignment horizontal="right" vertical="center" wrapText="1"/>
    </xf>
    <xf numFmtId="0" fontId="35" fillId="0" borderId="0" xfId="0" applyFont="1" applyAlignment="1">
      <alignment horizontal="right" vertical="center" wrapText="1"/>
    </xf>
    <xf numFmtId="0" fontId="35" fillId="0" borderId="37" xfId="0" applyFont="1" applyBorder="1" applyAlignment="1">
      <alignment horizontal="right" vertical="center" wrapText="1"/>
    </xf>
    <xf numFmtId="3" fontId="35" fillId="0" borderId="37" xfId="0" applyNumberFormat="1" applyFont="1" applyBorder="1" applyAlignment="1">
      <alignment horizontal="right" vertical="center" wrapText="1"/>
    </xf>
    <xf numFmtId="3" fontId="35" fillId="0" borderId="0" xfId="0" applyNumberFormat="1" applyFont="1" applyAlignment="1">
      <alignment horizontal="right" vertical="center" wrapText="1"/>
    </xf>
    <xf numFmtId="0" fontId="28" fillId="0" borderId="5" xfId="0" applyFont="1" applyBorder="1" applyAlignment="1">
      <alignment horizontal="right" vertical="center"/>
    </xf>
    <xf numFmtId="3" fontId="28" fillId="0" borderId="5" xfId="0" applyNumberFormat="1" applyFont="1" applyBorder="1" applyAlignment="1">
      <alignment horizontal="right" vertical="center"/>
    </xf>
    <xf numFmtId="9" fontId="47" fillId="3" borderId="0" xfId="226" applyFont="1" applyFill="1" applyAlignment="1">
      <alignment horizontal="center" vertical="center"/>
    </xf>
    <xf numFmtId="0" fontId="48" fillId="0" borderId="0" xfId="21" applyFont="1" applyAlignment="1">
      <alignment horizontal="center" vertical="center"/>
    </xf>
    <xf numFmtId="0" fontId="47" fillId="5" borderId="0" xfId="21" applyFont="1" applyFill="1" applyAlignment="1">
      <alignment horizontal="center" vertical="center"/>
    </xf>
    <xf numFmtId="0" fontId="49" fillId="0" borderId="0" xfId="21" applyFont="1" applyAlignment="1">
      <alignment vertical="center"/>
    </xf>
    <xf numFmtId="0" fontId="50" fillId="0" borderId="0" xfId="21" applyFont="1" applyAlignment="1">
      <alignment vertical="center"/>
    </xf>
    <xf numFmtId="0" fontId="51" fillId="3" borderId="0" xfId="21" applyFont="1" applyFill="1" applyAlignment="1">
      <alignment vertical="center"/>
    </xf>
    <xf numFmtId="0" fontId="52" fillId="0" borderId="0" xfId="238" applyFont="1" applyAlignment="1" applyProtection="1">
      <alignment vertical="center"/>
    </xf>
    <xf numFmtId="0" fontId="52" fillId="0" borderId="0" xfId="238" applyFont="1" applyFill="1" applyAlignment="1" applyProtection="1">
      <alignment vertical="center"/>
    </xf>
    <xf numFmtId="0" fontId="49" fillId="0" borderId="0" xfId="238" applyFont="1" applyAlignment="1" applyProtection="1"/>
    <xf numFmtId="0" fontId="49" fillId="0" borderId="0" xfId="0" applyFont="1"/>
    <xf numFmtId="0" fontId="52" fillId="0" borderId="0" xfId="238" applyFont="1" applyAlignment="1" applyProtection="1"/>
    <xf numFmtId="0" fontId="53" fillId="0" borderId="0" xfId="0" applyFont="1"/>
    <xf numFmtId="9" fontId="52" fillId="0" borderId="0" xfId="238" applyNumberFormat="1" applyFont="1" applyAlignment="1" applyProtection="1"/>
    <xf numFmtId="0" fontId="54" fillId="0" borderId="0" xfId="0" applyFont="1"/>
    <xf numFmtId="0" fontId="32" fillId="0" borderId="67" xfId="0" applyFont="1" applyBorder="1"/>
    <xf numFmtId="0" fontId="50" fillId="0" borderId="0" xfId="0" applyFont="1"/>
    <xf numFmtId="0" fontId="50" fillId="0" borderId="0" xfId="0" applyFont="1" applyAlignment="1">
      <alignment horizontal="left"/>
    </xf>
    <xf numFmtId="0" fontId="55" fillId="0" borderId="0" xfId="21" applyFont="1" applyAlignment="1">
      <alignment horizontal="center" vertical="center"/>
    </xf>
    <xf numFmtId="0" fontId="55" fillId="0" borderId="0" xfId="21" applyFont="1" applyAlignment="1">
      <alignment horizontal="left" vertical="center" indent="4"/>
    </xf>
    <xf numFmtId="0" fontId="50" fillId="0" borderId="0" xfId="21" applyFont="1" applyAlignment="1">
      <alignment horizontal="left" vertical="center"/>
    </xf>
    <xf numFmtId="0" fontId="56" fillId="0" borderId="0" xfId="0" applyFont="1" applyAlignment="1">
      <alignment horizontal="left"/>
    </xf>
    <xf numFmtId="0" fontId="50" fillId="0" borderId="0" xfId="12" applyFont="1" applyFill="1" applyAlignment="1" applyProtection="1">
      <alignment horizontal="left" vertical="center"/>
    </xf>
    <xf numFmtId="0" fontId="50" fillId="0" borderId="0" xfId="0" applyFont="1" applyAlignment="1">
      <alignment horizontal="center"/>
    </xf>
    <xf numFmtId="3" fontId="35" fillId="0" borderId="39" xfId="0" applyNumberFormat="1" applyFont="1" applyBorder="1" applyAlignment="1">
      <alignment horizontal="right" vertical="center" wrapText="1"/>
    </xf>
    <xf numFmtId="3" fontId="35" fillId="0" borderId="59" xfId="0" applyNumberFormat="1" applyFont="1" applyBorder="1" applyAlignment="1">
      <alignment horizontal="right" vertical="center" wrapText="1"/>
    </xf>
    <xf numFmtId="3" fontId="35" fillId="0" borderId="21" xfId="0" applyNumberFormat="1" applyFont="1" applyBorder="1" applyAlignment="1">
      <alignment horizontal="right" vertical="center" wrapText="1"/>
    </xf>
    <xf numFmtId="3" fontId="35" fillId="0" borderId="61" xfId="0" applyNumberFormat="1" applyFont="1" applyBorder="1" applyAlignment="1">
      <alignment horizontal="right" vertical="center" wrapText="1"/>
    </xf>
    <xf numFmtId="3" fontId="35" fillId="0" borderId="63" xfId="0" applyNumberFormat="1" applyFont="1" applyBorder="1" applyAlignment="1">
      <alignment horizontal="right" vertical="center" wrapText="1"/>
    </xf>
    <xf numFmtId="3" fontId="35" fillId="0" borderId="4" xfId="0" applyNumberFormat="1" applyFont="1" applyBorder="1" applyAlignment="1">
      <alignment horizontal="right" vertical="center"/>
    </xf>
    <xf numFmtId="0" fontId="35" fillId="0" borderId="4" xfId="0" applyFont="1" applyBorder="1" applyAlignment="1">
      <alignment horizontal="right" vertical="center"/>
    </xf>
    <xf numFmtId="3" fontId="35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3" fontId="29" fillId="0" borderId="36" xfId="0" applyNumberFormat="1" applyFont="1" applyBorder="1" applyAlignment="1">
      <alignment horizontal="right" vertical="center" wrapText="1"/>
    </xf>
    <xf numFmtId="0" fontId="22" fillId="4" borderId="69" xfId="0" applyFont="1" applyFill="1" applyBorder="1" applyAlignment="1">
      <alignment horizontal="center" vertical="center" wrapText="1"/>
    </xf>
    <xf numFmtId="9" fontId="31" fillId="0" borderId="70" xfId="0" applyNumberFormat="1" applyFont="1" applyBorder="1" applyAlignment="1">
      <alignment horizontal="right" vertical="center" wrapText="1"/>
    </xf>
    <xf numFmtId="165" fontId="30" fillId="0" borderId="70" xfId="0" applyNumberFormat="1" applyFont="1" applyBorder="1" applyAlignment="1">
      <alignment horizontal="right" vertical="center" wrapText="1"/>
    </xf>
    <xf numFmtId="0" fontId="31" fillId="0" borderId="71" xfId="0" applyFont="1" applyBorder="1" applyAlignment="1">
      <alignment horizontal="right" vertical="center" wrapText="1"/>
    </xf>
    <xf numFmtId="0" fontId="38" fillId="0" borderId="34" xfId="0" applyFont="1" applyBorder="1" applyAlignment="1">
      <alignment horizontal="left" vertical="center" wrapText="1"/>
    </xf>
    <xf numFmtId="0" fontId="39" fillId="0" borderId="34" xfId="0" applyFont="1" applyBorder="1" applyAlignment="1">
      <alignment horizontal="left" vertical="center" wrapText="1" indent="1"/>
    </xf>
    <xf numFmtId="0" fontId="38" fillId="0" borderId="68" xfId="0" applyFont="1" applyBorder="1" applyAlignment="1">
      <alignment horizontal="left" vertical="center" wrapText="1"/>
    </xf>
    <xf numFmtId="0" fontId="28" fillId="0" borderId="40" xfId="0" applyFont="1" applyBorder="1" applyAlignment="1">
      <alignment horizontal="right" vertical="center"/>
    </xf>
    <xf numFmtId="0" fontId="28" fillId="0" borderId="70" xfId="0" applyFont="1" applyBorder="1" applyAlignment="1">
      <alignment horizontal="right" vertical="center"/>
    </xf>
    <xf numFmtId="0" fontId="28" fillId="0" borderId="42" xfId="0" applyFont="1" applyBorder="1" applyAlignment="1">
      <alignment horizontal="right" vertical="center"/>
    </xf>
    <xf numFmtId="3" fontId="28" fillId="0" borderId="40" xfId="0" applyNumberFormat="1" applyFont="1" applyBorder="1" applyAlignment="1">
      <alignment horizontal="right" vertical="center"/>
    </xf>
    <xf numFmtId="3" fontId="28" fillId="0" borderId="70" xfId="0" applyNumberFormat="1" applyFont="1" applyBorder="1" applyAlignment="1">
      <alignment horizontal="right" vertical="center"/>
    </xf>
    <xf numFmtId="3" fontId="28" fillId="0" borderId="42" xfId="0" applyNumberFormat="1" applyFont="1" applyBorder="1" applyAlignment="1">
      <alignment horizontal="right" vertical="center"/>
    </xf>
    <xf numFmtId="0" fontId="29" fillId="0" borderId="17" xfId="0" applyFont="1" applyBorder="1" applyAlignment="1">
      <alignment horizontal="left" vertical="center"/>
    </xf>
    <xf numFmtId="0" fontId="57" fillId="4" borderId="24" xfId="0" applyFont="1" applyFill="1" applyBorder="1" applyAlignment="1">
      <alignment horizontal="center" vertical="center" wrapText="1"/>
    </xf>
    <xf numFmtId="0" fontId="57" fillId="4" borderId="57" xfId="0" applyFont="1" applyFill="1" applyBorder="1" applyAlignment="1">
      <alignment horizontal="center" vertical="center" wrapText="1"/>
    </xf>
    <xf numFmtId="3" fontId="27" fillId="0" borderId="0" xfId="21" applyNumberFormat="1" applyFont="1"/>
    <xf numFmtId="165" fontId="27" fillId="0" borderId="0" xfId="226" applyNumberFormat="1" applyFont="1"/>
    <xf numFmtId="165" fontId="35" fillId="0" borderId="0" xfId="226" applyNumberFormat="1" applyFont="1"/>
    <xf numFmtId="0" fontId="51" fillId="3" borderId="0" xfId="21" applyFont="1" applyFill="1" applyAlignment="1">
      <alignment horizontal="left" vertical="center" indent="4"/>
    </xf>
    <xf numFmtId="0" fontId="22" fillId="4" borderId="14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47" xfId="0" applyFont="1" applyBorder="1" applyAlignment="1">
      <alignment horizontal="left" vertical="center" wrapText="1"/>
    </xf>
    <xf numFmtId="0" fontId="22" fillId="4" borderId="51" xfId="0" applyFont="1" applyFill="1" applyBorder="1" applyAlignment="1">
      <alignment horizontal="center" vertical="center" wrapText="1"/>
    </xf>
    <xf numFmtId="0" fontId="22" fillId="4" borderId="52" xfId="0" applyFont="1" applyFill="1" applyBorder="1" applyAlignment="1">
      <alignment horizontal="center" vertical="center" wrapText="1"/>
    </xf>
    <xf numFmtId="0" fontId="22" fillId="4" borderId="48" xfId="0" applyFont="1" applyFill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center" vertical="center" wrapText="1"/>
    </xf>
    <xf numFmtId="0" fontId="21" fillId="3" borderId="3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22" fillId="4" borderId="72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 vertical="center" wrapText="1"/>
    </xf>
    <xf numFmtId="0" fontId="42" fillId="3" borderId="40" xfId="0" applyFont="1" applyFill="1" applyBorder="1" applyAlignment="1">
      <alignment horizontal="center" vertical="center" wrapText="1"/>
    </xf>
    <xf numFmtId="0" fontId="42" fillId="3" borderId="42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 wrapText="1"/>
    </xf>
  </cellXfs>
  <cellStyles count="278">
    <cellStyle name="%" xfId="1" xr:uid="{00000000-0005-0000-0000-000000000000}"/>
    <cellStyle name="% 2" xfId="266" xr:uid="{00000000-0005-0000-0000-000001000000}"/>
    <cellStyle name="% 3" xfId="2" xr:uid="{00000000-0005-0000-0000-000002000000}"/>
    <cellStyle name="% 3 2" xfId="3" xr:uid="{00000000-0005-0000-0000-000003000000}"/>
    <cellStyle name="CABECALHO" xfId="4" xr:uid="{00000000-0005-0000-0000-000004000000}"/>
    <cellStyle name="Comma 2" xfId="5" xr:uid="{00000000-0005-0000-0000-000005000000}"/>
    <cellStyle name="Comma 2 2" xfId="6" xr:uid="{00000000-0005-0000-0000-000006000000}"/>
    <cellStyle name="Comma 3" xfId="7" xr:uid="{00000000-0005-0000-0000-000007000000}"/>
    <cellStyle name="Comma 3 2" xfId="240" xr:uid="{00000000-0005-0000-0000-000008000000}"/>
    <cellStyle name="Currency 2" xfId="8" xr:uid="{00000000-0005-0000-0000-000009000000}"/>
    <cellStyle name="Currency 2 2" xfId="236" xr:uid="{00000000-0005-0000-0000-00000A000000}"/>
    <cellStyle name="Currency 2 2 2" xfId="273" xr:uid="{00000000-0005-0000-0000-00000B000000}"/>
    <cellStyle name="Currency 2 3" xfId="269" xr:uid="{00000000-0005-0000-0000-00000C000000}"/>
    <cellStyle name="Currency 2 3 2" xfId="276" xr:uid="{00000000-0005-0000-0000-00000D000000}"/>
    <cellStyle name="Currency 2 4" xfId="272" xr:uid="{00000000-0005-0000-0000-00000E000000}"/>
    <cellStyle name="Currency 3" xfId="268" xr:uid="{00000000-0005-0000-0000-00000F000000}"/>
    <cellStyle name="Currency 3 2" xfId="275" xr:uid="{00000000-0005-0000-0000-000010000000}"/>
    <cellStyle name="DADOS" xfId="9" xr:uid="{00000000-0005-0000-0000-000011000000}"/>
    <cellStyle name="Hiperligação" xfId="238" builtinId="8"/>
    <cellStyle name="Hyperlink 2" xfId="10" xr:uid="{00000000-0005-0000-0000-000013000000}"/>
    <cellStyle name="Hyperlink 2 2" xfId="11" xr:uid="{00000000-0005-0000-0000-000014000000}"/>
    <cellStyle name="Hyperlink 3" xfId="12" xr:uid="{00000000-0005-0000-0000-000015000000}"/>
    <cellStyle name="Normal" xfId="0" builtinId="0"/>
    <cellStyle name="Normal - Style1" xfId="13" xr:uid="{00000000-0005-0000-0000-000017000000}"/>
    <cellStyle name="Normal - Style2" xfId="14" xr:uid="{00000000-0005-0000-0000-000018000000}"/>
    <cellStyle name="Normal - Style3" xfId="15" xr:uid="{00000000-0005-0000-0000-000019000000}"/>
    <cellStyle name="Normal - Style4" xfId="16" xr:uid="{00000000-0005-0000-0000-00001A000000}"/>
    <cellStyle name="Normal - Style5" xfId="17" xr:uid="{00000000-0005-0000-0000-00001B000000}"/>
    <cellStyle name="Normal - Style6" xfId="18" xr:uid="{00000000-0005-0000-0000-00001C000000}"/>
    <cellStyle name="Normal - Style7" xfId="19" xr:uid="{00000000-0005-0000-0000-00001D000000}"/>
    <cellStyle name="Normal - Style8" xfId="20" xr:uid="{00000000-0005-0000-0000-00001E000000}"/>
    <cellStyle name="Normal 10" xfId="21" xr:uid="{00000000-0005-0000-0000-00001F000000}"/>
    <cellStyle name="Normal 10 2" xfId="22" xr:uid="{00000000-0005-0000-0000-000020000000}"/>
    <cellStyle name="Normal 100" xfId="23" xr:uid="{00000000-0005-0000-0000-000021000000}"/>
    <cellStyle name="Normal 101" xfId="24" xr:uid="{00000000-0005-0000-0000-000022000000}"/>
    <cellStyle name="Normal 102" xfId="25" xr:uid="{00000000-0005-0000-0000-000023000000}"/>
    <cellStyle name="Normal 103" xfId="26" xr:uid="{00000000-0005-0000-0000-000024000000}"/>
    <cellStyle name="Normal 104" xfId="27" xr:uid="{00000000-0005-0000-0000-000025000000}"/>
    <cellStyle name="Normal 104 2" xfId="28" xr:uid="{00000000-0005-0000-0000-000026000000}"/>
    <cellStyle name="Normal 105" xfId="29" xr:uid="{00000000-0005-0000-0000-000027000000}"/>
    <cellStyle name="Normal 106" xfId="30" xr:uid="{00000000-0005-0000-0000-000028000000}"/>
    <cellStyle name="Normal 107" xfId="31" xr:uid="{00000000-0005-0000-0000-000029000000}"/>
    <cellStyle name="Normal 108" xfId="32" xr:uid="{00000000-0005-0000-0000-00002A000000}"/>
    <cellStyle name="Normal 109" xfId="33" xr:uid="{00000000-0005-0000-0000-00002B000000}"/>
    <cellStyle name="Normal 11" xfId="34" xr:uid="{00000000-0005-0000-0000-00002C000000}"/>
    <cellStyle name="Normal 11 2" xfId="35" xr:uid="{00000000-0005-0000-0000-00002D000000}"/>
    <cellStyle name="Normal 11 2 2" xfId="241" xr:uid="{00000000-0005-0000-0000-00002E000000}"/>
    <cellStyle name="Normal 110" xfId="36" xr:uid="{00000000-0005-0000-0000-00002F000000}"/>
    <cellStyle name="Normal 110 2" xfId="233" xr:uid="{00000000-0005-0000-0000-000030000000}"/>
    <cellStyle name="Normal 111" xfId="267" xr:uid="{00000000-0005-0000-0000-000031000000}"/>
    <cellStyle name="Normal 111 2" xfId="274" xr:uid="{00000000-0005-0000-0000-000032000000}"/>
    <cellStyle name="Normal 112" xfId="270" xr:uid="{00000000-0005-0000-0000-000033000000}"/>
    <cellStyle name="Normal 112 2" xfId="277" xr:uid="{00000000-0005-0000-0000-000034000000}"/>
    <cellStyle name="Normal 12" xfId="37" xr:uid="{00000000-0005-0000-0000-000035000000}"/>
    <cellStyle name="Normal 12 2" xfId="38" xr:uid="{00000000-0005-0000-0000-000036000000}"/>
    <cellStyle name="Normal 13" xfId="39" xr:uid="{00000000-0005-0000-0000-000037000000}"/>
    <cellStyle name="Normal 13 2" xfId="40" xr:uid="{00000000-0005-0000-0000-000038000000}"/>
    <cellStyle name="Normal 14" xfId="41" xr:uid="{00000000-0005-0000-0000-000039000000}"/>
    <cellStyle name="Normal 14 2" xfId="42" xr:uid="{00000000-0005-0000-0000-00003A000000}"/>
    <cellStyle name="Normal 14 2 2" xfId="242" xr:uid="{00000000-0005-0000-0000-00003B000000}"/>
    <cellStyle name="Normal 15" xfId="43" xr:uid="{00000000-0005-0000-0000-00003C000000}"/>
    <cellStyle name="Normal 15 2" xfId="44" xr:uid="{00000000-0005-0000-0000-00003D000000}"/>
    <cellStyle name="Normal 16" xfId="45" xr:uid="{00000000-0005-0000-0000-00003E000000}"/>
    <cellStyle name="Normal 16 2" xfId="46" xr:uid="{00000000-0005-0000-0000-00003F000000}"/>
    <cellStyle name="Normal 17" xfId="47" xr:uid="{00000000-0005-0000-0000-000040000000}"/>
    <cellStyle name="Normal 17 2" xfId="48" xr:uid="{00000000-0005-0000-0000-000041000000}"/>
    <cellStyle name="Normal 18" xfId="49" xr:uid="{00000000-0005-0000-0000-000042000000}"/>
    <cellStyle name="Normal 18 2" xfId="50" xr:uid="{00000000-0005-0000-0000-000043000000}"/>
    <cellStyle name="Normal 19" xfId="51" xr:uid="{00000000-0005-0000-0000-000044000000}"/>
    <cellStyle name="Normal 19 2" xfId="52" xr:uid="{00000000-0005-0000-0000-000045000000}"/>
    <cellStyle name="Normal 2" xfId="53" xr:uid="{00000000-0005-0000-0000-000046000000}"/>
    <cellStyle name="Normal 2 2" xfId="54" xr:uid="{00000000-0005-0000-0000-000047000000}"/>
    <cellStyle name="Normal 2 2 2" xfId="55" xr:uid="{00000000-0005-0000-0000-000048000000}"/>
    <cellStyle name="Normal 2 2 2 2" xfId="56" xr:uid="{00000000-0005-0000-0000-000049000000}"/>
    <cellStyle name="Normal 2 2 3" xfId="234" xr:uid="{00000000-0005-0000-0000-00004A000000}"/>
    <cellStyle name="Normal 2 3" xfId="235" xr:uid="{00000000-0005-0000-0000-00004B000000}"/>
    <cellStyle name="Normal 20" xfId="57" xr:uid="{00000000-0005-0000-0000-00004C000000}"/>
    <cellStyle name="Normal 20 2" xfId="58" xr:uid="{00000000-0005-0000-0000-00004D000000}"/>
    <cellStyle name="Normal 21" xfId="59" xr:uid="{00000000-0005-0000-0000-00004E000000}"/>
    <cellStyle name="Normal 21 2" xfId="60" xr:uid="{00000000-0005-0000-0000-00004F000000}"/>
    <cellStyle name="Normal 22" xfId="61" xr:uid="{00000000-0005-0000-0000-000050000000}"/>
    <cellStyle name="Normal 22 2" xfId="62" xr:uid="{00000000-0005-0000-0000-000051000000}"/>
    <cellStyle name="Normal 23" xfId="63" xr:uid="{00000000-0005-0000-0000-000052000000}"/>
    <cellStyle name="Normal 23 2" xfId="64" xr:uid="{00000000-0005-0000-0000-000053000000}"/>
    <cellStyle name="Normal 24" xfId="65" xr:uid="{00000000-0005-0000-0000-000054000000}"/>
    <cellStyle name="Normal 24 2" xfId="66" xr:uid="{00000000-0005-0000-0000-000055000000}"/>
    <cellStyle name="Normal 25" xfId="67" xr:uid="{00000000-0005-0000-0000-000056000000}"/>
    <cellStyle name="Normal 25 2" xfId="68" xr:uid="{00000000-0005-0000-0000-000057000000}"/>
    <cellStyle name="Normal 26" xfId="69" xr:uid="{00000000-0005-0000-0000-000058000000}"/>
    <cellStyle name="Normal 26 2" xfId="70" xr:uid="{00000000-0005-0000-0000-000059000000}"/>
    <cellStyle name="Normal 27" xfId="71" xr:uid="{00000000-0005-0000-0000-00005A000000}"/>
    <cellStyle name="Normal 27 2" xfId="72" xr:uid="{00000000-0005-0000-0000-00005B000000}"/>
    <cellStyle name="Normal 28" xfId="73" xr:uid="{00000000-0005-0000-0000-00005C000000}"/>
    <cellStyle name="Normal 28 2" xfId="74" xr:uid="{00000000-0005-0000-0000-00005D000000}"/>
    <cellStyle name="Normal 29" xfId="75" xr:uid="{00000000-0005-0000-0000-00005E000000}"/>
    <cellStyle name="Normal 29 2" xfId="76" xr:uid="{00000000-0005-0000-0000-00005F000000}"/>
    <cellStyle name="Normal 3" xfId="77" xr:uid="{00000000-0005-0000-0000-000060000000}"/>
    <cellStyle name="Normal 3 2" xfId="78" xr:uid="{00000000-0005-0000-0000-000061000000}"/>
    <cellStyle name="Normal 3 2 2" xfId="79" xr:uid="{00000000-0005-0000-0000-000062000000}"/>
    <cellStyle name="Normal 3 3" xfId="80" xr:uid="{00000000-0005-0000-0000-000063000000}"/>
    <cellStyle name="Normal 3 4" xfId="81" xr:uid="{00000000-0005-0000-0000-000064000000}"/>
    <cellStyle name="Normal 30" xfId="82" xr:uid="{00000000-0005-0000-0000-000065000000}"/>
    <cellStyle name="Normal 30 2" xfId="83" xr:uid="{00000000-0005-0000-0000-000066000000}"/>
    <cellStyle name="Normal 31" xfId="84" xr:uid="{00000000-0005-0000-0000-000067000000}"/>
    <cellStyle name="Normal 31 2" xfId="85" xr:uid="{00000000-0005-0000-0000-000068000000}"/>
    <cellStyle name="Normal 32" xfId="86" xr:uid="{00000000-0005-0000-0000-000069000000}"/>
    <cellStyle name="Normal 32 2" xfId="87" xr:uid="{00000000-0005-0000-0000-00006A000000}"/>
    <cellStyle name="Normal 33" xfId="88" xr:uid="{00000000-0005-0000-0000-00006B000000}"/>
    <cellStyle name="Normal 33 2" xfId="89" xr:uid="{00000000-0005-0000-0000-00006C000000}"/>
    <cellStyle name="Normal 34" xfId="90" xr:uid="{00000000-0005-0000-0000-00006D000000}"/>
    <cellStyle name="Normal 34 2" xfId="91" xr:uid="{00000000-0005-0000-0000-00006E000000}"/>
    <cellStyle name="Normal 35" xfId="92" xr:uid="{00000000-0005-0000-0000-00006F000000}"/>
    <cellStyle name="Normal 35 2" xfId="93" xr:uid="{00000000-0005-0000-0000-000070000000}"/>
    <cellStyle name="Normal 36" xfId="94" xr:uid="{00000000-0005-0000-0000-000071000000}"/>
    <cellStyle name="Normal 36 2" xfId="95" xr:uid="{00000000-0005-0000-0000-000072000000}"/>
    <cellStyle name="Normal 37" xfId="96" xr:uid="{00000000-0005-0000-0000-000073000000}"/>
    <cellStyle name="Normal 37 2" xfId="97" xr:uid="{00000000-0005-0000-0000-000074000000}"/>
    <cellStyle name="Normal 38" xfId="98" xr:uid="{00000000-0005-0000-0000-000075000000}"/>
    <cellStyle name="Normal 38 2" xfId="99" xr:uid="{00000000-0005-0000-0000-000076000000}"/>
    <cellStyle name="Normal 39" xfId="100" xr:uid="{00000000-0005-0000-0000-000077000000}"/>
    <cellStyle name="Normal 39 2" xfId="101" xr:uid="{00000000-0005-0000-0000-000078000000}"/>
    <cellStyle name="Normal 4" xfId="102" xr:uid="{00000000-0005-0000-0000-000079000000}"/>
    <cellStyle name="Normal 4 2" xfId="243" xr:uid="{00000000-0005-0000-0000-00007A000000}"/>
    <cellStyle name="Normal 4 3" xfId="244" xr:uid="{00000000-0005-0000-0000-00007B000000}"/>
    <cellStyle name="Normal 40" xfId="103" xr:uid="{00000000-0005-0000-0000-00007C000000}"/>
    <cellStyle name="Normal 40 2" xfId="104" xr:uid="{00000000-0005-0000-0000-00007D000000}"/>
    <cellStyle name="Normal 41" xfId="105" xr:uid="{00000000-0005-0000-0000-00007E000000}"/>
    <cellStyle name="Normal 41 2" xfId="106" xr:uid="{00000000-0005-0000-0000-00007F000000}"/>
    <cellStyle name="Normal 42" xfId="107" xr:uid="{00000000-0005-0000-0000-000080000000}"/>
    <cellStyle name="Normal 42 2" xfId="108" xr:uid="{00000000-0005-0000-0000-000081000000}"/>
    <cellStyle name="Normal 43" xfId="109" xr:uid="{00000000-0005-0000-0000-000082000000}"/>
    <cellStyle name="Normal 43 2" xfId="110" xr:uid="{00000000-0005-0000-0000-000083000000}"/>
    <cellStyle name="Normal 44" xfId="111" xr:uid="{00000000-0005-0000-0000-000084000000}"/>
    <cellStyle name="Normal 44 2" xfId="112" xr:uid="{00000000-0005-0000-0000-000085000000}"/>
    <cellStyle name="Normal 45" xfId="113" xr:uid="{00000000-0005-0000-0000-000086000000}"/>
    <cellStyle name="Normal 45 2" xfId="114" xr:uid="{00000000-0005-0000-0000-000087000000}"/>
    <cellStyle name="Normal 46" xfId="115" xr:uid="{00000000-0005-0000-0000-000088000000}"/>
    <cellStyle name="Normal 46 2" xfId="116" xr:uid="{00000000-0005-0000-0000-000089000000}"/>
    <cellStyle name="Normal 47" xfId="117" xr:uid="{00000000-0005-0000-0000-00008A000000}"/>
    <cellStyle name="Normal 47 2" xfId="118" xr:uid="{00000000-0005-0000-0000-00008B000000}"/>
    <cellStyle name="Normal 48" xfId="119" xr:uid="{00000000-0005-0000-0000-00008C000000}"/>
    <cellStyle name="Normal 48 2" xfId="120" xr:uid="{00000000-0005-0000-0000-00008D000000}"/>
    <cellStyle name="Normal 49" xfId="121" xr:uid="{00000000-0005-0000-0000-00008E000000}"/>
    <cellStyle name="Normal 49 2" xfId="122" xr:uid="{00000000-0005-0000-0000-00008F000000}"/>
    <cellStyle name="Normal 5" xfId="123" xr:uid="{00000000-0005-0000-0000-000090000000}"/>
    <cellStyle name="Normal 5 2" xfId="124" xr:uid="{00000000-0005-0000-0000-000091000000}"/>
    <cellStyle name="Normal 5 2 2" xfId="245" xr:uid="{00000000-0005-0000-0000-000092000000}"/>
    <cellStyle name="Normal 5 2 2 2" xfId="246" xr:uid="{00000000-0005-0000-0000-000093000000}"/>
    <cellStyle name="Normal 5 2 2 2 2" xfId="247" xr:uid="{00000000-0005-0000-0000-000094000000}"/>
    <cellStyle name="Normal 5 2 2 2 3" xfId="248" xr:uid="{00000000-0005-0000-0000-000095000000}"/>
    <cellStyle name="Normal 5 2 3" xfId="249" xr:uid="{00000000-0005-0000-0000-000096000000}"/>
    <cellStyle name="Normal 5 2 4" xfId="250" xr:uid="{00000000-0005-0000-0000-000097000000}"/>
    <cellStyle name="Normal 5 3" xfId="251" xr:uid="{00000000-0005-0000-0000-000098000000}"/>
    <cellStyle name="Normal 5 3 2" xfId="252" xr:uid="{00000000-0005-0000-0000-000099000000}"/>
    <cellStyle name="Normal 5 3 3" xfId="253" xr:uid="{00000000-0005-0000-0000-00009A000000}"/>
    <cellStyle name="Normal 5 4" xfId="254" xr:uid="{00000000-0005-0000-0000-00009B000000}"/>
    <cellStyle name="Normal 5 5" xfId="255" xr:uid="{00000000-0005-0000-0000-00009C000000}"/>
    <cellStyle name="Normal 50" xfId="125" xr:uid="{00000000-0005-0000-0000-00009D000000}"/>
    <cellStyle name="Normal 50 2" xfId="126" xr:uid="{00000000-0005-0000-0000-00009E000000}"/>
    <cellStyle name="Normal 51" xfId="127" xr:uid="{00000000-0005-0000-0000-00009F000000}"/>
    <cellStyle name="Normal 51 2" xfId="128" xr:uid="{00000000-0005-0000-0000-0000A0000000}"/>
    <cellStyle name="Normal 52" xfId="129" xr:uid="{00000000-0005-0000-0000-0000A1000000}"/>
    <cellStyle name="Normal 52 2" xfId="130" xr:uid="{00000000-0005-0000-0000-0000A2000000}"/>
    <cellStyle name="Normal 53" xfId="131" xr:uid="{00000000-0005-0000-0000-0000A3000000}"/>
    <cellStyle name="Normal 53 2" xfId="132" xr:uid="{00000000-0005-0000-0000-0000A4000000}"/>
    <cellStyle name="Normal 54" xfId="133" xr:uid="{00000000-0005-0000-0000-0000A5000000}"/>
    <cellStyle name="Normal 54 2" xfId="134" xr:uid="{00000000-0005-0000-0000-0000A6000000}"/>
    <cellStyle name="Normal 55" xfId="135" xr:uid="{00000000-0005-0000-0000-0000A7000000}"/>
    <cellStyle name="Normal 55 2" xfId="136" xr:uid="{00000000-0005-0000-0000-0000A8000000}"/>
    <cellStyle name="Normal 56" xfId="137" xr:uid="{00000000-0005-0000-0000-0000A9000000}"/>
    <cellStyle name="Normal 56 2" xfId="138" xr:uid="{00000000-0005-0000-0000-0000AA000000}"/>
    <cellStyle name="Normal 57" xfId="139" xr:uid="{00000000-0005-0000-0000-0000AB000000}"/>
    <cellStyle name="Normal 57 2" xfId="140" xr:uid="{00000000-0005-0000-0000-0000AC000000}"/>
    <cellStyle name="Normal 58" xfId="141" xr:uid="{00000000-0005-0000-0000-0000AD000000}"/>
    <cellStyle name="Normal 58 2" xfId="142" xr:uid="{00000000-0005-0000-0000-0000AE000000}"/>
    <cellStyle name="Normal 59" xfId="143" xr:uid="{00000000-0005-0000-0000-0000AF000000}"/>
    <cellStyle name="Normal 59 2" xfId="144" xr:uid="{00000000-0005-0000-0000-0000B0000000}"/>
    <cellStyle name="Normal 6" xfId="145" xr:uid="{00000000-0005-0000-0000-0000B1000000}"/>
    <cellStyle name="Normal 6 2" xfId="146" xr:uid="{00000000-0005-0000-0000-0000B2000000}"/>
    <cellStyle name="Normal 6 3" xfId="147" xr:uid="{00000000-0005-0000-0000-0000B3000000}"/>
    <cellStyle name="Normal 60" xfId="148" xr:uid="{00000000-0005-0000-0000-0000B4000000}"/>
    <cellStyle name="Normal 60 2" xfId="149" xr:uid="{00000000-0005-0000-0000-0000B5000000}"/>
    <cellStyle name="Normal 61" xfId="150" xr:uid="{00000000-0005-0000-0000-0000B6000000}"/>
    <cellStyle name="Normal 61 2" xfId="151" xr:uid="{00000000-0005-0000-0000-0000B7000000}"/>
    <cellStyle name="Normal 62" xfId="152" xr:uid="{00000000-0005-0000-0000-0000B8000000}"/>
    <cellStyle name="Normal 62 2" xfId="153" xr:uid="{00000000-0005-0000-0000-0000B9000000}"/>
    <cellStyle name="Normal 63" xfId="154" xr:uid="{00000000-0005-0000-0000-0000BA000000}"/>
    <cellStyle name="Normal 63 2" xfId="155" xr:uid="{00000000-0005-0000-0000-0000BB000000}"/>
    <cellStyle name="Normal 64" xfId="156" xr:uid="{00000000-0005-0000-0000-0000BC000000}"/>
    <cellStyle name="Normal 64 2" xfId="157" xr:uid="{00000000-0005-0000-0000-0000BD000000}"/>
    <cellStyle name="Normal 65" xfId="158" xr:uid="{00000000-0005-0000-0000-0000BE000000}"/>
    <cellStyle name="Normal 65 2" xfId="159" xr:uid="{00000000-0005-0000-0000-0000BF000000}"/>
    <cellStyle name="Normal 66" xfId="160" xr:uid="{00000000-0005-0000-0000-0000C0000000}"/>
    <cellStyle name="Normal 66 2" xfId="161" xr:uid="{00000000-0005-0000-0000-0000C1000000}"/>
    <cellStyle name="Normal 67" xfId="162" xr:uid="{00000000-0005-0000-0000-0000C2000000}"/>
    <cellStyle name="Normal 67 2" xfId="163" xr:uid="{00000000-0005-0000-0000-0000C3000000}"/>
    <cellStyle name="Normal 68" xfId="164" xr:uid="{00000000-0005-0000-0000-0000C4000000}"/>
    <cellStyle name="Normal 68 2" xfId="165" xr:uid="{00000000-0005-0000-0000-0000C5000000}"/>
    <cellStyle name="Normal 69" xfId="166" xr:uid="{00000000-0005-0000-0000-0000C6000000}"/>
    <cellStyle name="Normal 69 2" xfId="167" xr:uid="{00000000-0005-0000-0000-0000C7000000}"/>
    <cellStyle name="Normal 7" xfId="168" xr:uid="{00000000-0005-0000-0000-0000C8000000}"/>
    <cellStyle name="Normal 7 2" xfId="169" xr:uid="{00000000-0005-0000-0000-0000C9000000}"/>
    <cellStyle name="Normal 70" xfId="170" xr:uid="{00000000-0005-0000-0000-0000CA000000}"/>
    <cellStyle name="Normal 70 2" xfId="171" xr:uid="{00000000-0005-0000-0000-0000CB000000}"/>
    <cellStyle name="Normal 71" xfId="172" xr:uid="{00000000-0005-0000-0000-0000CC000000}"/>
    <cellStyle name="Normal 71 2" xfId="173" xr:uid="{00000000-0005-0000-0000-0000CD000000}"/>
    <cellStyle name="Normal 72" xfId="174" xr:uid="{00000000-0005-0000-0000-0000CE000000}"/>
    <cellStyle name="Normal 72 2" xfId="175" xr:uid="{00000000-0005-0000-0000-0000CF000000}"/>
    <cellStyle name="Normal 73" xfId="176" xr:uid="{00000000-0005-0000-0000-0000D0000000}"/>
    <cellStyle name="Normal 73 2" xfId="177" xr:uid="{00000000-0005-0000-0000-0000D1000000}"/>
    <cellStyle name="Normal 74" xfId="178" xr:uid="{00000000-0005-0000-0000-0000D2000000}"/>
    <cellStyle name="Normal 74 2" xfId="179" xr:uid="{00000000-0005-0000-0000-0000D3000000}"/>
    <cellStyle name="Normal 75" xfId="180" xr:uid="{00000000-0005-0000-0000-0000D4000000}"/>
    <cellStyle name="Normal 75 2" xfId="181" xr:uid="{00000000-0005-0000-0000-0000D5000000}"/>
    <cellStyle name="Normal 76" xfId="182" xr:uid="{00000000-0005-0000-0000-0000D6000000}"/>
    <cellStyle name="Normal 76 2" xfId="183" xr:uid="{00000000-0005-0000-0000-0000D7000000}"/>
    <cellStyle name="Normal 77" xfId="184" xr:uid="{00000000-0005-0000-0000-0000D8000000}"/>
    <cellStyle name="Normal 77 2" xfId="185" xr:uid="{00000000-0005-0000-0000-0000D9000000}"/>
    <cellStyle name="Normal 78" xfId="186" xr:uid="{00000000-0005-0000-0000-0000DA000000}"/>
    <cellStyle name="Normal 78 2" xfId="187" xr:uid="{00000000-0005-0000-0000-0000DB000000}"/>
    <cellStyle name="Normal 79" xfId="188" xr:uid="{00000000-0005-0000-0000-0000DC000000}"/>
    <cellStyle name="Normal 79 2" xfId="189" xr:uid="{00000000-0005-0000-0000-0000DD000000}"/>
    <cellStyle name="Normal 8" xfId="190" xr:uid="{00000000-0005-0000-0000-0000DE000000}"/>
    <cellStyle name="Normal 8 2" xfId="191" xr:uid="{00000000-0005-0000-0000-0000DF000000}"/>
    <cellStyle name="Normal 80" xfId="192" xr:uid="{00000000-0005-0000-0000-0000E0000000}"/>
    <cellStyle name="Normal 80 2" xfId="193" xr:uid="{00000000-0005-0000-0000-0000E1000000}"/>
    <cellStyle name="Normal 81" xfId="194" xr:uid="{00000000-0005-0000-0000-0000E2000000}"/>
    <cellStyle name="Normal 81 2" xfId="195" xr:uid="{00000000-0005-0000-0000-0000E3000000}"/>
    <cellStyle name="Normal 82" xfId="196" xr:uid="{00000000-0005-0000-0000-0000E4000000}"/>
    <cellStyle name="Normal 82 2" xfId="197" xr:uid="{00000000-0005-0000-0000-0000E5000000}"/>
    <cellStyle name="Normal 83" xfId="198" xr:uid="{00000000-0005-0000-0000-0000E6000000}"/>
    <cellStyle name="Normal 83 2" xfId="199" xr:uid="{00000000-0005-0000-0000-0000E7000000}"/>
    <cellStyle name="Normal 84" xfId="200" xr:uid="{00000000-0005-0000-0000-0000E8000000}"/>
    <cellStyle name="Normal 84 2" xfId="201" xr:uid="{00000000-0005-0000-0000-0000E9000000}"/>
    <cellStyle name="Normal 85" xfId="202" xr:uid="{00000000-0005-0000-0000-0000EA000000}"/>
    <cellStyle name="Normal 85 2" xfId="203" xr:uid="{00000000-0005-0000-0000-0000EB000000}"/>
    <cellStyle name="Normal 86" xfId="204" xr:uid="{00000000-0005-0000-0000-0000EC000000}"/>
    <cellStyle name="Normal 86 2" xfId="205" xr:uid="{00000000-0005-0000-0000-0000ED000000}"/>
    <cellStyle name="Normal 87" xfId="206" xr:uid="{00000000-0005-0000-0000-0000EE000000}"/>
    <cellStyle name="Normal 87 2" xfId="207" xr:uid="{00000000-0005-0000-0000-0000EF000000}"/>
    <cellStyle name="Normal 88" xfId="208" xr:uid="{00000000-0005-0000-0000-0000F0000000}"/>
    <cellStyle name="Normal 88 2" xfId="209" xr:uid="{00000000-0005-0000-0000-0000F1000000}"/>
    <cellStyle name="Normal 89" xfId="210" xr:uid="{00000000-0005-0000-0000-0000F2000000}"/>
    <cellStyle name="Normal 89 2" xfId="211" xr:uid="{00000000-0005-0000-0000-0000F3000000}"/>
    <cellStyle name="Normal 89 3" xfId="256" xr:uid="{00000000-0005-0000-0000-0000F4000000}"/>
    <cellStyle name="Normal 89 4" xfId="257" xr:uid="{00000000-0005-0000-0000-0000F5000000}"/>
    <cellStyle name="Normal 9" xfId="212" xr:uid="{00000000-0005-0000-0000-0000F6000000}"/>
    <cellStyle name="Normal 9 2" xfId="213" xr:uid="{00000000-0005-0000-0000-0000F7000000}"/>
    <cellStyle name="Normal 90" xfId="214" xr:uid="{00000000-0005-0000-0000-0000F8000000}"/>
    <cellStyle name="Normal 90 2" xfId="215" xr:uid="{00000000-0005-0000-0000-0000F9000000}"/>
    <cellStyle name="Normal 90 3" xfId="271" xr:uid="{00000000-0005-0000-0000-0000FA000000}"/>
    <cellStyle name="Normal 91" xfId="216" xr:uid="{00000000-0005-0000-0000-0000FB000000}"/>
    <cellStyle name="Normal 92" xfId="217" xr:uid="{00000000-0005-0000-0000-0000FC000000}"/>
    <cellStyle name="Normal 93" xfId="218" xr:uid="{00000000-0005-0000-0000-0000FD000000}"/>
    <cellStyle name="Normal 94" xfId="219" xr:uid="{00000000-0005-0000-0000-0000FE000000}"/>
    <cellStyle name="Normal 95" xfId="220" xr:uid="{00000000-0005-0000-0000-0000FF000000}"/>
    <cellStyle name="Normal 96" xfId="221" xr:uid="{00000000-0005-0000-0000-000000010000}"/>
    <cellStyle name="Normal 97" xfId="222" xr:uid="{00000000-0005-0000-0000-000001010000}"/>
    <cellStyle name="Normal 98" xfId="223" xr:uid="{00000000-0005-0000-0000-000002010000}"/>
    <cellStyle name="Normal 99" xfId="224" xr:uid="{00000000-0005-0000-0000-000003010000}"/>
    <cellStyle name="NUMLINHA" xfId="225" xr:uid="{00000000-0005-0000-0000-000005010000}"/>
    <cellStyle name="NUMLINHA 2" xfId="258" xr:uid="{00000000-0005-0000-0000-000006010000}"/>
    <cellStyle name="Percent 2" xfId="227" xr:uid="{00000000-0005-0000-0000-000008010000}"/>
    <cellStyle name="Percent 2 2" xfId="228" xr:uid="{00000000-0005-0000-0000-000009010000}"/>
    <cellStyle name="Percent 2 2 2" xfId="259" xr:uid="{00000000-0005-0000-0000-00000A010000}"/>
    <cellStyle name="Percent 2 2 2 2" xfId="239" xr:uid="{00000000-0005-0000-0000-00000B010000}"/>
    <cellStyle name="Percent 3" xfId="229" xr:uid="{00000000-0005-0000-0000-00000C010000}"/>
    <cellStyle name="Percent 3 2" xfId="237" xr:uid="{00000000-0005-0000-0000-00000D010000}"/>
    <cellStyle name="Percent 3 2 2" xfId="260" xr:uid="{00000000-0005-0000-0000-00000E010000}"/>
    <cellStyle name="Percent 4" xfId="230" xr:uid="{00000000-0005-0000-0000-00000F010000}"/>
    <cellStyle name="Percent 4 2" xfId="261" xr:uid="{00000000-0005-0000-0000-000010010000}"/>
    <cellStyle name="Percent 5" xfId="262" xr:uid="{00000000-0005-0000-0000-000011010000}"/>
    <cellStyle name="Percent 6" xfId="263" xr:uid="{00000000-0005-0000-0000-000012010000}"/>
    <cellStyle name="Percentagem" xfId="226" builtinId="5"/>
    <cellStyle name="Percentagem 2" xfId="264" xr:uid="{00000000-0005-0000-0000-000013010000}"/>
    <cellStyle name="QDTITULO" xfId="231" xr:uid="{00000000-0005-0000-0000-000014010000}"/>
    <cellStyle name="TITCOLUNA" xfId="232" xr:uid="{00000000-0005-0000-0000-000015010000}"/>
    <cellStyle name="TITCOLUNA 2" xfId="265" xr:uid="{00000000-0005-0000-0000-000016010000}"/>
  </cellStyles>
  <dxfs count="0"/>
  <tableStyles count="1" defaultTableStyle="TableStyleMedium9" defaultPivotStyle="PivotStyleLight16">
    <tableStyle name="Invisible" pivot="0" table="0" count="0" xr9:uid="{3567B41A-9C07-4341-BB2D-8509575C9B50}"/>
  </tableStyles>
  <colors>
    <mruColors>
      <color rgb="FF5B9BD5"/>
      <color rgb="FF4F81BD"/>
      <color rgb="FF376091"/>
      <color rgb="FFDCE6F1"/>
      <color rgb="FF99FF99"/>
      <color rgb="FFC3D4E7"/>
      <color rgb="FFB2C8E0"/>
      <color rgb="FFC6D6E8"/>
      <color rgb="FFA8C1DC"/>
      <color rgb="FFC0D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39757</xdr:colOff>
      <xdr:row>1</xdr:row>
      <xdr:rowOff>46384</xdr:rowOff>
    </xdr:from>
    <xdr:to>
      <xdr:col>1</xdr:col>
      <xdr:colOff>86139</xdr:colOff>
      <xdr:row>1</xdr:row>
      <xdr:rowOff>243178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DBA4A-4F1E-5BA5-E42A-707B63E80DEF}"/>
            </a:ext>
          </a:extLst>
        </xdr:cNvPr>
        <xdr:cNvSpPr/>
      </xdr:nvSpPr>
      <xdr:spPr>
        <a:xfrm>
          <a:off x="39757" y="298175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62FEBB-3DBB-46A6-BE82-FA0B7562C2EC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4DF845-4FC8-4F0B-8182-46824712F78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B8D67-48A8-4CE8-8171-229F05E6477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8533D3-8940-4867-9C56-FC1A5AF4422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58615</xdr:colOff>
      <xdr:row>1</xdr:row>
      <xdr:rowOff>43962</xdr:rowOff>
    </xdr:from>
    <xdr:to>
      <xdr:col>2</xdr:col>
      <xdr:colOff>227567</xdr:colOff>
      <xdr:row>1</xdr:row>
      <xdr:rowOff>240756</xdr:rowOff>
    </xdr:to>
    <xdr:sp macro="" textlink="">
      <xdr:nvSpPr>
        <xdr:cNvPr id="3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0155D-F8BC-45A6-83AF-91C17DB2F42F}"/>
            </a:ext>
          </a:extLst>
        </xdr:cNvPr>
        <xdr:cNvSpPr/>
      </xdr:nvSpPr>
      <xdr:spPr>
        <a:xfrm>
          <a:off x="58615" y="293077"/>
          <a:ext cx="1304625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3FFB86-58BD-490F-AEC6-2297A790922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E90FB-AAAB-4BAC-B2AB-1B5EAA79EF9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76DF1-3BDA-4024-B665-61B82197DA53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CDD215-3EC8-4CD5-ADAA-2CF867DC921B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D507CE-AD94-4E84-9C17-4C2794DCC29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590E2-81EF-46A0-9E9B-8E10603A3592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F50C4-4268-4565-9A98-B0F3B0146D6B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A33C4-DFD7-4880-BECF-1D0E5B93D375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E7298C-279F-4CB0-BE79-037F7667C76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4E9C39-A83F-4BE3-ABCF-BF5EFD57335B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C1499F-49AA-404F-AC1D-181144A208C6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227085-6FC5-47A4-8FC2-7BF4977B439E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E37C5-13D7-482A-B8B2-587E97DD4B9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A96CBD-BD14-41B3-BBCA-76EB5793290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78A1D-E440-4C03-B7CA-BB69CEAF1262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977-C8EF-44C8-920A-2E5BDABC36A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58BC45-DAC9-4302-A3E0-702C3F3B55A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F98ECB-288D-4D54-B024-8A084A52958B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D2F5AF-9034-4F06-9DE1-CDBE8AF8C35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8BF49-043F-46E0-A7AB-B73D6A0AD08E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F7E95F-1459-43FA-A03A-BD7D1511CAE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99BB6-1DA3-4749-9EB4-937A51D0323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0A508-758A-4104-8120-B258E0C9019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95BE8-D935-4E83-B075-62B5D75C0E8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87785-F4CB-4A79-A134-C0A7F5798C0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3438E7-4867-4F53-A740-A4FE9CB0C3A3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E83020-B098-4D47-BC95-94DCFE60116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FD6E4A-1608-4CA8-B7F3-F5482E81D325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CD8972-FB3B-41F7-B16C-4E2635ACAFEE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0F72A7-ACE4-464B-BBAE-236FBC2E3B1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25A4BD-05F0-4FA2-BDD9-DD723C3AE90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ED9E0-9B6D-4DA9-A7F1-1630550D9445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ED1DCA-97CE-45D3-B50D-410EDBE6CBDF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06542F-5828-4CB5-AF67-9BD432886388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5E531-32EF-4157-9944-1EB9205B480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9683E4-F733-472B-9933-C45560CDBB4C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252C46-2571-47AD-8B4B-7BFC001E1525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79FB58-D3B6-4289-87CA-E185D949AAD2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12C18C-D3CA-405D-9538-056A714001A9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2A646B-465E-45C0-B8A5-A2B1663339FF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42CF2-C55E-4198-BDCB-09096A94CF4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7AFFD4-94F4-4E5C-B760-FC8E2F4FADB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41524-9EEC-4FE6-9D74-7BD6C9A0C996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FA6136-0211-4B18-9A44-0529349615CF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F80C64-95BA-45A2-A754-3A2BF723337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29F798-B786-4509-BCE6-578D7773B1A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DB9DD3-9AE2-42CB-8650-CEC894D946F9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1FA384-B03F-4CF6-963E-728AC1C0DCAD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221E38-9DE6-4655-9DD8-897FC3CB47C6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C33DD1-1AA4-48CC-B71C-AE014FF40272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BAFB19-A5B3-4EAE-A713-295EFC6B01B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13F331-D687-4336-9A91-F83B9FD924C1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1126434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A3B8A2-3230-41C8-AD8D-592F3DAF509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EFB300-7DA7-4E9A-8175-BF6046EDDAA0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E7EC3-8774-4BC4-9D48-2E87CE451EF4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44394</xdr:colOff>
      <xdr:row>1</xdr:row>
      <xdr:rowOff>196794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4379A7-4EE1-45F6-9B99-3FBBDCF609A7}"/>
            </a:ext>
          </a:extLst>
        </xdr:cNvPr>
        <xdr:cNvSpPr/>
      </xdr:nvSpPr>
      <xdr:spPr>
        <a:xfrm>
          <a:off x="0" y="251460"/>
          <a:ext cx="1126434" cy="196794"/>
        </a:xfrm>
        <a:prstGeom prst="roundRect">
          <a:avLst/>
        </a:prstGeom>
        <a:solidFill>
          <a:srgbClr val="0070C0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Voltar ao Índice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D4948"/>
      </a:dk2>
      <a:lt2>
        <a:srgbClr val="969594"/>
      </a:lt2>
      <a:accent1>
        <a:srgbClr val="F7D117"/>
      </a:accent1>
      <a:accent2>
        <a:srgbClr val="8A8F05"/>
      </a:accent2>
      <a:accent3>
        <a:srgbClr val="000B73"/>
      </a:accent3>
      <a:accent4>
        <a:srgbClr val="F7D117"/>
      </a:accent4>
      <a:accent5>
        <a:srgbClr val="8A8F05"/>
      </a:accent5>
      <a:accent6>
        <a:srgbClr val="000B73"/>
      </a:accent6>
      <a:hlink>
        <a:srgbClr val="F7D117"/>
      </a:hlink>
      <a:folHlink>
        <a:srgbClr val="F7D117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0DC2-41A4-47C1-AF41-F11FCB2D54AD}">
  <sheetPr codeName="Planilha1"/>
  <dimension ref="A1:F87"/>
  <sheetViews>
    <sheetView showGridLines="0" tabSelected="1" workbookViewId="0">
      <pane ySplit="5" topLeftCell="A6" activePane="bottomLeft" state="frozen"/>
      <selection activeCell="I1" sqref="I1"/>
      <selection pane="bottomLeft" activeCell="B1" sqref="B1"/>
    </sheetView>
  </sheetViews>
  <sheetFormatPr defaultColWidth="9.109375" defaultRowHeight="14.4" x14ac:dyDescent="0.3"/>
  <cols>
    <col min="1" max="1" width="113.109375" style="37" customWidth="1"/>
    <col min="2" max="16384" width="9.109375" style="37"/>
  </cols>
  <sheetData>
    <row r="1" spans="1:1" ht="23.25" customHeight="1" x14ac:dyDescent="0.3">
      <c r="A1" s="160" t="s">
        <v>137</v>
      </c>
    </row>
    <row r="2" spans="1:1" ht="8.25" customHeight="1" x14ac:dyDescent="0.3">
      <c r="A2" s="161"/>
    </row>
    <row r="3" spans="1:1" ht="18" x14ac:dyDescent="0.3">
      <c r="A3" s="162" t="s">
        <v>33</v>
      </c>
    </row>
    <row r="4" spans="1:1" ht="7.5" customHeight="1" x14ac:dyDescent="0.3">
      <c r="A4" s="163"/>
    </row>
    <row r="5" spans="1:1" ht="18" x14ac:dyDescent="0.3">
      <c r="A5" s="162" t="s">
        <v>363</v>
      </c>
    </row>
    <row r="6" spans="1:1" x14ac:dyDescent="0.3">
      <c r="A6" s="164"/>
    </row>
    <row r="7" spans="1:1" x14ac:dyDescent="0.3">
      <c r="A7" s="165" t="s">
        <v>138</v>
      </c>
    </row>
    <row r="8" spans="1:1" x14ac:dyDescent="0.3">
      <c r="A8" s="163"/>
    </row>
    <row r="9" spans="1:1" x14ac:dyDescent="0.3">
      <c r="A9" s="166" t="str">
        <f>'1.1'!A1</f>
        <v>Quadro 1.1 Sinistralidade em Portugal por mês</v>
      </c>
    </row>
    <row r="10" spans="1:1" x14ac:dyDescent="0.3">
      <c r="A10" s="166" t="str">
        <f>'1.2'!A1</f>
        <v>Quadro 1.2 Sinistralidade em Portugal por dia da semana</v>
      </c>
    </row>
    <row r="11" spans="1:1" x14ac:dyDescent="0.3">
      <c r="A11" s="166" t="str">
        <f>'1.3'!A1</f>
        <v>Quadro 1.3 Sinistralidade em Portugal por período horário</v>
      </c>
    </row>
    <row r="12" spans="1:1" x14ac:dyDescent="0.3">
      <c r="A12" s="166" t="str">
        <f>'1.4'!A1</f>
        <v>Quadro 1.4 Sinistralidade em Portugal por fatores atmosféricos</v>
      </c>
    </row>
    <row r="13" spans="1:1" x14ac:dyDescent="0.3">
      <c r="A13" s="167" t="str">
        <f>'1.5'!A1</f>
        <v>Quadro 1.5 Sinistralidade em Portugal por condições de luminosidade</v>
      </c>
    </row>
    <row r="14" spans="1:1" x14ac:dyDescent="0.3">
      <c r="A14" s="166" t="str">
        <f>'1.6'!A1</f>
        <v>Quadro 1.6 Sinistralidade em Portugal por natureza do acidente</v>
      </c>
    </row>
    <row r="15" spans="1:1" x14ac:dyDescent="0.3">
      <c r="A15" s="166" t="str">
        <f>'1.7'!A1</f>
        <v>Quadro 1.7 Sinistralidade em Portugal por natureza detalhada do acidente</v>
      </c>
    </row>
    <row r="16" spans="1:1" x14ac:dyDescent="0.3">
      <c r="A16" s="166" t="str">
        <f>'1.8'!A1</f>
        <v>Quadro 1.8 Sinistralidade em Portugal por localização do acidente</v>
      </c>
    </row>
    <row r="17" spans="1:1" x14ac:dyDescent="0.3">
      <c r="A17" s="166" t="str">
        <f>'1.9'!A1</f>
        <v>Quadro 1.9 Sinistralidade em Portugal por tipo de via</v>
      </c>
    </row>
    <row r="18" spans="1:1" x14ac:dyDescent="0.3">
      <c r="A18" s="166" t="str">
        <f>'1.10'!A1</f>
        <v>Quadro 1.10 Sinistralidade em Portugal por distrito e R.A.</v>
      </c>
    </row>
    <row r="19" spans="1:1" x14ac:dyDescent="0.3">
      <c r="A19" s="168"/>
    </row>
    <row r="20" spans="1:1" x14ac:dyDescent="0.3">
      <c r="A20" s="165" t="s">
        <v>139</v>
      </c>
    </row>
    <row r="21" spans="1:1" x14ac:dyDescent="0.3">
      <c r="A21" s="169"/>
    </row>
    <row r="22" spans="1:1" x14ac:dyDescent="0.3">
      <c r="A22" s="170" t="str">
        <f>'2.1'!A1</f>
        <v>Quadro 2.1 Veículos intervenientes em acidentes com vítimas em Portugal por categoria e natureza do acidente</v>
      </c>
    </row>
    <row r="23" spans="1:1" x14ac:dyDescent="0.3">
      <c r="A23" s="170" t="str">
        <f>'2.2'!A1</f>
        <v>Quadro 2.2 Veículos intervenientes em acidentes com vítimas em Portugal por categoria e idade do veículo</v>
      </c>
    </row>
    <row r="24" spans="1:1" x14ac:dyDescent="0.3">
      <c r="A24" s="170" t="s">
        <v>346</v>
      </c>
    </row>
    <row r="25" spans="1:1" x14ac:dyDescent="0.3">
      <c r="A25" s="168"/>
    </row>
    <row r="26" spans="1:1" x14ac:dyDescent="0.3">
      <c r="A26" s="165" t="s">
        <v>140</v>
      </c>
    </row>
    <row r="27" spans="1:1" x14ac:dyDescent="0.3">
      <c r="A27" s="168"/>
    </row>
    <row r="28" spans="1:1" x14ac:dyDescent="0.3">
      <c r="A28" s="170" t="str">
        <f>'3.1'!A1</f>
        <v>Quadro 3.1 Vítimas em Portugal por categoria de utente</v>
      </c>
    </row>
    <row r="29" spans="1:1" x14ac:dyDescent="0.3">
      <c r="A29" s="170" t="str">
        <f>'3.2'!A1</f>
        <v>Quadro 3.2 Vítimas em Portugal por categoria de veículo</v>
      </c>
    </row>
    <row r="30" spans="1:1" x14ac:dyDescent="0.3">
      <c r="A30" s="170" t="str">
        <f>'3.3'!A1</f>
        <v>Quadro 3.3 Vítimas em Portugal por sexo</v>
      </c>
    </row>
    <row r="31" spans="1:1" x14ac:dyDescent="0.3">
      <c r="A31" s="170" t="str">
        <f>'3.4'!A1</f>
        <v>Quadro 3.4 Vítimas em Portugal por grupo etário</v>
      </c>
    </row>
    <row r="32" spans="1:1" x14ac:dyDescent="0.3">
      <c r="A32" s="170" t="str">
        <f>'3.5'!A1</f>
        <v>Quadro 3.5 Vítimas mortais em Portugal por milhão de habitantes, segundo o grupo etário</v>
      </c>
    </row>
    <row r="33" spans="1:1" x14ac:dyDescent="0.3">
      <c r="A33" s="170"/>
    </row>
    <row r="34" spans="1:1" x14ac:dyDescent="0.3">
      <c r="A34" s="165" t="s">
        <v>141</v>
      </c>
    </row>
    <row r="35" spans="1:1" x14ac:dyDescent="0.3">
      <c r="A35" s="171"/>
    </row>
    <row r="36" spans="1:1" x14ac:dyDescent="0.3">
      <c r="A36" s="170" t="str">
        <f>'4.1'!A1</f>
        <v>Quadro 4.1 Peões vítimas em Portugal por regiões NUTS I</v>
      </c>
    </row>
    <row r="37" spans="1:1" x14ac:dyDescent="0.3">
      <c r="A37" s="170" t="str">
        <f>'4.2'!A1</f>
        <v>Quadro 4.2 Evolução peões vítimas em Portugal, 2019 a 2024</v>
      </c>
    </row>
    <row r="38" spans="1:1" x14ac:dyDescent="0.3">
      <c r="A38" s="170" t="str">
        <f>'4.3'!A1</f>
        <v>Quadro 4.3 Peões vítimas em Portugal por mês</v>
      </c>
    </row>
    <row r="39" spans="1:1" x14ac:dyDescent="0.3">
      <c r="A39" s="170" t="str">
        <f>'4.4'!A1</f>
        <v>Quadro 4.4 Peões vítimas em Portugal por dia da semana</v>
      </c>
    </row>
    <row r="40" spans="1:1" x14ac:dyDescent="0.3">
      <c r="A40" s="170" t="str">
        <f>'4.5'!A1</f>
        <v>Quadro 4.5 Peões vítimas em Portugal por período horário</v>
      </c>
    </row>
    <row r="41" spans="1:1" x14ac:dyDescent="0.3">
      <c r="A41" s="170" t="str">
        <f>'4.6'!A1</f>
        <v>Quadro 4.6 Peões vítimas em Portugal por fatores atmosféricos</v>
      </c>
    </row>
    <row r="42" spans="1:1" x14ac:dyDescent="0.3">
      <c r="A42" s="170" t="str">
        <f>'4.7'!A1</f>
        <v>Quadro 4.7 Peões vítimas em Portugal segundo a luminosidade</v>
      </c>
    </row>
    <row r="43" spans="1:1" x14ac:dyDescent="0.3">
      <c r="A43" s="170" t="str">
        <f>'4.8'!A1</f>
        <v>Quadro 4.8 Peões vítimas em Portugal segundo a localização</v>
      </c>
    </row>
    <row r="44" spans="1:1" x14ac:dyDescent="0.3">
      <c r="A44" s="170" t="str">
        <f>'4.9'!A1</f>
        <v>Quadro 4.9 Peões vítimas em Portugal por tipo de via</v>
      </c>
    </row>
    <row r="45" spans="1:1" x14ac:dyDescent="0.3">
      <c r="A45" s="172" t="str">
        <f>'4.10'!A1</f>
        <v>Quadro 4.10 Peões vítimas em Portugal por distrito e R.A.</v>
      </c>
    </row>
    <row r="46" spans="1:1" x14ac:dyDescent="0.3">
      <c r="A46" s="170" t="str">
        <f>'4.11'!A1</f>
        <v>Quadro 4.11 Peões vítimas em Portugal por ação do peão</v>
      </c>
    </row>
    <row r="47" spans="1:1" x14ac:dyDescent="0.3">
      <c r="A47" s="170" t="str">
        <f>'4.12'!A1</f>
        <v>Quadro 4.12 Peões vítimas em Portugal por sexo</v>
      </c>
    </row>
    <row r="48" spans="1:1" x14ac:dyDescent="0.3">
      <c r="A48" s="170" t="str">
        <f>'4.13'!A1</f>
        <v>Quadro 4.13 Peões vítimas em Portugal por grupo etário</v>
      </c>
    </row>
    <row r="49" spans="1:1" x14ac:dyDescent="0.3">
      <c r="A49" s="171"/>
    </row>
    <row r="50" spans="1:1" x14ac:dyDescent="0.3">
      <c r="A50" s="165" t="s">
        <v>142</v>
      </c>
    </row>
    <row r="51" spans="1:1" x14ac:dyDescent="0.3">
      <c r="A51" s="171"/>
    </row>
    <row r="52" spans="1:1" x14ac:dyDescent="0.3">
      <c r="A52" s="170" t="str">
        <f>'5.1'!A1</f>
        <v>Quadro 5.1 Passageiros vítimas em Portugal, por NUTS I</v>
      </c>
    </row>
    <row r="53" spans="1:1" x14ac:dyDescent="0.3">
      <c r="A53" s="170" t="str">
        <f>'5.2'!A1</f>
        <v>Quadro 5.2 Passageiros vítimas em Portugal, 2019 a 2024</v>
      </c>
    </row>
    <row r="54" spans="1:1" x14ac:dyDescent="0.3">
      <c r="A54" s="170" t="str">
        <f>'5.3'!A1</f>
        <v>Quadro 5.3 Passageiros vítimas em Portugal por mês</v>
      </c>
    </row>
    <row r="55" spans="1:1" x14ac:dyDescent="0.3">
      <c r="A55" s="170" t="str">
        <f>'5.4'!A1</f>
        <v>Quadro 5.4 Passageiros vítimas em Portugal por dia da semana</v>
      </c>
    </row>
    <row r="56" spans="1:1" x14ac:dyDescent="0.3">
      <c r="A56" s="170" t="str">
        <f>'5.5'!A1</f>
        <v>Quadro 5.5 Passageiros vítimas em Portugal por período horário</v>
      </c>
    </row>
    <row r="57" spans="1:1" x14ac:dyDescent="0.3">
      <c r="A57" s="170" t="str">
        <f>'5.6'!A1</f>
        <v>Quadro 5.6 Passageiros vítimas em Portugal por fatores atmosféricos</v>
      </c>
    </row>
    <row r="58" spans="1:1" x14ac:dyDescent="0.3">
      <c r="A58" s="170" t="str">
        <f>'5.7'!A1</f>
        <v>Quadro 5.7 Passageiros vítimas em Portugal por luminosidade</v>
      </c>
    </row>
    <row r="59" spans="1:1" x14ac:dyDescent="0.3">
      <c r="A59" s="170" t="str">
        <f>'5.8'!A1</f>
        <v>Quadro 5.8 Passageiros vítimas em Portugal por natureza do acidente</v>
      </c>
    </row>
    <row r="60" spans="1:1" x14ac:dyDescent="0.3">
      <c r="A60" s="170" t="str">
        <f>'5.9'!A1</f>
        <v>Quadro 5.9 Passageiros vítimas em Portugal por localização</v>
      </c>
    </row>
    <row r="61" spans="1:1" x14ac:dyDescent="0.3">
      <c r="A61" s="170" t="str">
        <f>'5.10'!A1</f>
        <v>Quadro 5.10 Passageiros vítimas em Portugal por tipo de via</v>
      </c>
    </row>
    <row r="62" spans="1:1" x14ac:dyDescent="0.3">
      <c r="A62" s="170" t="str">
        <f>'5.11'!A1</f>
        <v>Quadro 5.11 Passageiros vítimas em Portugal por distrito e R.A.</v>
      </c>
    </row>
    <row r="63" spans="1:1" x14ac:dyDescent="0.3">
      <c r="A63" s="170" t="str">
        <f>'5.12'!A1</f>
        <v>Quadro 5.12 Passageiros vítimas em Portugal por grupo etário</v>
      </c>
    </row>
    <row r="64" spans="1:1" x14ac:dyDescent="0.3">
      <c r="A64" s="170" t="str">
        <f>'5.13'!A1</f>
        <v>Quadro 5.13 Passageiros vítimas em Portugal por acesssório de segurança</v>
      </c>
    </row>
    <row r="65" spans="1:6" ht="15" customHeight="1" x14ac:dyDescent="0.3">
      <c r="A65" s="170" t="str">
        <f>'5.14'!A1</f>
        <v>Quadro 5.14 Passageiros vítimas em Portugal por sexo</v>
      </c>
    </row>
    <row r="66" spans="1:6" x14ac:dyDescent="0.3">
      <c r="A66" s="171"/>
    </row>
    <row r="67" spans="1:6" x14ac:dyDescent="0.3">
      <c r="A67" s="165" t="s">
        <v>143</v>
      </c>
    </row>
    <row r="68" spans="1:6" x14ac:dyDescent="0.3">
      <c r="A68" s="171"/>
    </row>
    <row r="69" spans="1:6" x14ac:dyDescent="0.3">
      <c r="A69" s="170" t="str">
        <f>'6.1'!A1</f>
        <v>Quadro 6.1 Condutores vítimas em Portugal por região NUTS I</v>
      </c>
    </row>
    <row r="70" spans="1:6" x14ac:dyDescent="0.3">
      <c r="A70" s="170" t="str">
        <f>'6.2'!A1</f>
        <v>Quadro 6.2 Evolução dos condutores vítimas em Portugal, 2019 a 2024</v>
      </c>
    </row>
    <row r="71" spans="1:6" x14ac:dyDescent="0.3">
      <c r="A71" s="170" t="str">
        <f>'6.3'!A1</f>
        <v>Quadro 6.3 Condutores vítimas em Portugal por mês</v>
      </c>
    </row>
    <row r="72" spans="1:6" x14ac:dyDescent="0.3">
      <c r="A72" s="170" t="str">
        <f>'6.4'!A1</f>
        <v>Quadro 6.4 Condutores vítimas em Portugal por dia da semana</v>
      </c>
    </row>
    <row r="73" spans="1:6" x14ac:dyDescent="0.3">
      <c r="A73" s="170" t="str">
        <f>'6.5'!A1</f>
        <v>Quadro 6.5 Condutores vítimas em Portugal por período horário</v>
      </c>
    </row>
    <row r="74" spans="1:6" x14ac:dyDescent="0.3">
      <c r="A74" s="170" t="str">
        <f>'6.6'!A1</f>
        <v>Quadro 6.6 Condutores vítimas em Portugal por fatores atmosféricos</v>
      </c>
    </row>
    <row r="75" spans="1:6" x14ac:dyDescent="0.3">
      <c r="A75" s="170" t="str">
        <f>'6.7'!A1</f>
        <v>Quadro 6.7 Condutores vítimas em Portugal por luminosidade</v>
      </c>
    </row>
    <row r="76" spans="1:6" x14ac:dyDescent="0.3">
      <c r="A76" s="170" t="str">
        <f>'6.8'!A1</f>
        <v>Quadro 6.8 Condutores vítimas em Portugal por natureza do acidente</v>
      </c>
    </row>
    <row r="77" spans="1:6" x14ac:dyDescent="0.3">
      <c r="A77" s="172" t="str">
        <f>'6.9'!A1</f>
        <v>Quadro 6.9 Condutores vítimas em Portugal por localização</v>
      </c>
      <c r="B77" s="173"/>
      <c r="C77" s="173"/>
      <c r="D77" s="173"/>
      <c r="E77" s="173"/>
      <c r="F77" s="173"/>
    </row>
    <row r="78" spans="1:6" x14ac:dyDescent="0.3">
      <c r="A78" s="170" t="str">
        <f>'6.10'!A1</f>
        <v>Quadro 6.10 Condutores vítimas em Portugal por tipo de via</v>
      </c>
    </row>
    <row r="79" spans="1:6" x14ac:dyDescent="0.3">
      <c r="A79" s="170" t="str">
        <f>'6.11'!A1</f>
        <v>Quadro 6.11 Condutores vítimas em Portugal por distrito e R.A.</v>
      </c>
    </row>
    <row r="80" spans="1:6" x14ac:dyDescent="0.3">
      <c r="A80" s="170" t="str">
        <f>'6.12'!A1</f>
        <v>Quadro 6.12 Condutores vítimas em Portugal por situação da licença de condução</v>
      </c>
    </row>
    <row r="81" spans="1:1" x14ac:dyDescent="0.3">
      <c r="A81" s="170" t="str">
        <f>'6.13'!A1</f>
        <v>Quadro 6.13 Condutores vítimas em Portugal por categoria de veículo</v>
      </c>
    </row>
    <row r="82" spans="1:1" x14ac:dyDescent="0.3">
      <c r="A82" s="170" t="str">
        <f>'6.14'!A1</f>
        <v>Quadro 6.14 Condutores vítimas em Portugal por ações dos condutores</v>
      </c>
    </row>
    <row r="83" spans="1:1" x14ac:dyDescent="0.3">
      <c r="A83" s="170" t="str">
        <f>'6.15'!A1</f>
        <v>Quadro 6.15 Condutores vítimas em Portugal por sexo</v>
      </c>
    </row>
    <row r="84" spans="1:1" x14ac:dyDescent="0.3">
      <c r="A84" s="170" t="str">
        <f>'6.16'!A1</f>
        <v>Quadro 6.16 Condutores vítimas em Portugal por acessórios de segurança</v>
      </c>
    </row>
    <row r="85" spans="1:1" x14ac:dyDescent="0.3">
      <c r="A85" s="170" t="str">
        <f>'6.17'!A1</f>
        <v>Quadro 6.17 Condutores vítimas em Portugal por grupo etário</v>
      </c>
    </row>
    <row r="86" spans="1:1" ht="10.5" customHeight="1" thickBot="1" x14ac:dyDescent="0.35">
      <c r="A86" s="171"/>
    </row>
    <row r="87" spans="1:1" x14ac:dyDescent="0.3">
      <c r="A87" s="174"/>
    </row>
  </sheetData>
  <phoneticPr fontId="19" type="noConversion"/>
  <hyperlinks>
    <hyperlink ref="A9" location="'1.1'!A1" display="'1.1'!A1" xr:uid="{E632DE65-5726-4712-B88A-9415087BBEE3}"/>
    <hyperlink ref="A10" location="'1.2'!A1" display="'1.2'!A1" xr:uid="{583152C3-1929-49E8-944E-003289E085D7}"/>
    <hyperlink ref="A11" location="'1.3'!A1" display="'1.3'!A1" xr:uid="{DB55B227-B31A-4716-AC4A-F017E9790DAE}"/>
    <hyperlink ref="A12" location="'1.4'!A1" display="'1.4'!A1" xr:uid="{5221E133-A05A-42F0-9EB8-F3598FC44C46}"/>
    <hyperlink ref="A13" location="'1.5'!A1" display="'1.5'!A1" xr:uid="{12FBC39E-7FDE-4D32-BDFA-8BAE3EB0F907}"/>
    <hyperlink ref="A14" location="'1.6'!A1" display="'1.6'!A1" xr:uid="{D43B22FF-E445-4D8F-AF94-ECD5E54566E4}"/>
    <hyperlink ref="A15" location="'1.7'!A1" display="'1.7'!A1" xr:uid="{5B6CCBBA-99B8-4CE7-B57B-E879C1057D33}"/>
    <hyperlink ref="A16" location="'1.8'!A1" display="'1.8'!A1" xr:uid="{2FE0D24B-6C0C-4754-AB5B-4ABB6FD1B239}"/>
    <hyperlink ref="A17" location="'1.9'!A1" display="'1.9'!A1" xr:uid="{057D011B-4A27-4863-9939-2D90C85BF5BB}"/>
    <hyperlink ref="A18" location="'1.10'!A1" display="'1.10'!A1" xr:uid="{4D587B61-5CE9-4D79-9A19-D1007C80E8FD}"/>
    <hyperlink ref="A22" location="'2.1'!A1" display="Quadro 2.1" xr:uid="{1D531D6B-DDFA-4BF1-B3B4-B10FF2FD0E86}"/>
    <hyperlink ref="A23" location="'2.2'!A1" display="'2.2'!A1" xr:uid="{903D78E0-C28B-485A-9A9E-ECB128E121A8}"/>
    <hyperlink ref="A28" location="'3.1'!A1" display="Quadro 3.1" xr:uid="{752DC712-823A-450C-A8A6-C0F275012615}"/>
    <hyperlink ref="A29" location="'3.2'!A1" display="Quadro 3.2" xr:uid="{5271C106-7865-4F40-810F-49B6021A4E60}"/>
    <hyperlink ref="A30" location="'3.3'!A1" display="'3.3'!A1" xr:uid="{A13FFF3D-924A-4C52-87BA-C037540A90D8}"/>
    <hyperlink ref="A31" location="'3.4'!A1" display="'3.4'!A1" xr:uid="{6217D054-22E3-4F79-835D-A6B5C540D701}"/>
    <hyperlink ref="A32" location="'3.5'!A1" display="'3.5'!A1" xr:uid="{10F6927B-5155-4B39-BEFC-E055C2116EF0}"/>
    <hyperlink ref="A36" location="'4.1'!A1" display="Quadro 4.1" xr:uid="{37C52F88-4A72-48D2-B104-2CD1E72E0048}"/>
    <hyperlink ref="A37" location="'4.2'!A1" display="Quadro 4.2" xr:uid="{61C6DF37-F030-4352-9C3E-C6105D0FCD7B}"/>
    <hyperlink ref="A38" location="'4.3'!A1" display="Quadro 4.3" xr:uid="{AD097EDB-A2F9-435B-AB5C-F682109D6329}"/>
    <hyperlink ref="A39" location="'4.4'!A1" display="'4.4'!A1" xr:uid="{9815DD43-2B4B-475F-88FC-07B46A26E788}"/>
    <hyperlink ref="A40" location="'4.5'!A1" display="Quadro 4.5" xr:uid="{57A1CD63-2A4B-407B-AE7B-9EA828ACAC49}"/>
    <hyperlink ref="A41" location="'4.6'!A1" display="'4.6'!A1" xr:uid="{D7F52372-62E4-41F8-A2F4-266EBD56CD2E}"/>
    <hyperlink ref="A42" location="'4.7'!A1" display="'4.7'!A1" xr:uid="{0038AD12-F56B-47A5-9FE0-685701C11C04}"/>
    <hyperlink ref="A43" location="'4.8'!A1" display="'4.8'!A1" xr:uid="{BD1C5F4F-DE91-40BC-8AAD-932B4A56E52C}"/>
    <hyperlink ref="A46" location="'4.11'!A1" display="Quadro 4.11" xr:uid="{D52AD680-6C18-4544-A833-D72CA550E4B2}"/>
    <hyperlink ref="A47" location="'4.12'!A1" display="Quadro 4.12" xr:uid="{06254F6D-AF72-4C8D-AAEE-5D0F54034B47}"/>
    <hyperlink ref="A52" location="'5.1'!A1" display="Quadro 5.1" xr:uid="{514F80F3-3818-4D8E-8A0D-F72CD22B45B2}"/>
    <hyperlink ref="A53" location="'5.2'!A1" display="Quadro 5.2" xr:uid="{F6E7678E-3570-437C-9927-D0E98A3C1CE4}"/>
    <hyperlink ref="A54" location="'5.3'!A1" display="Quadro 5.3" xr:uid="{2DCB21CE-7CB7-4CDC-BA82-B9DB8E3BEC02}"/>
    <hyperlink ref="A55" location="'5.4'!A1" display="Quadro 5.4" xr:uid="{19CE2614-FF09-4279-9E15-350BDBB1CE61}"/>
    <hyperlink ref="A56" location="'5.5'!A1" display="Quadro 5.5" xr:uid="{8BD776F1-8557-41A4-A4C4-B616C64177D9}"/>
    <hyperlink ref="A57" location="'5.6'!A1" display="Quadro 5.6" xr:uid="{D1737510-4972-4AEF-A431-70FC7A320CDE}"/>
    <hyperlink ref="A58" location="'5.7'!A1" display="Quadro 5.7" xr:uid="{85E4F0F2-78AC-4D2F-A38C-50311D8674CB}"/>
    <hyperlink ref="A59" location="'5.8'!A1" display="Quadro 5.8" xr:uid="{7088063B-2BC1-4906-A227-53A9BB2DEE3B}"/>
    <hyperlink ref="A60" location="'5.9'!A1" display="Quadro 5.9" xr:uid="{10A84067-7D88-40C8-BA58-F301F91A20FA}"/>
    <hyperlink ref="A61" location="'5.10'!A1" display="Quadro 5.10" xr:uid="{0A8AE4AA-F470-472D-8C08-EFBFB4295B58}"/>
    <hyperlink ref="A62" location="'5.11'!A1" display="Quadro 5.11" xr:uid="{EBEF8205-C0C2-4625-805D-EE51BA5CAB9A}"/>
    <hyperlink ref="A63" location="'5.12'!A1" display="Quadro 5.12" xr:uid="{A2257FBF-F0DB-4154-ADF7-16ADBEDC988A}"/>
    <hyperlink ref="A64" location="'5.13'!A1" display="Quadro 5.13" xr:uid="{5AF072A9-A862-4B76-A67A-77CA0A5C0400}"/>
    <hyperlink ref="A65" location="'5.14'!A1" display="Quadro 5.14" xr:uid="{1DE423B2-A932-4E1F-AEE5-1F42C00245DC}"/>
    <hyperlink ref="A69" location="'6.1'!A1" display="Quadro 6.1" xr:uid="{94924217-3A38-4B3F-BBC7-6883FEB2A555}"/>
    <hyperlink ref="A70" location="'6.2'!A1" display="Quadro 6.2" xr:uid="{B8D6CD49-7093-4D2A-8B6C-ED0369D76E9A}"/>
    <hyperlink ref="A71" location="'6.3'!A1" display="Quadro 6.3" xr:uid="{2C677C88-F7B2-41BB-A1B0-C4EB4CE014F4}"/>
    <hyperlink ref="A72" location="'6.4'!A1" display="Quadro 6.4" xr:uid="{59BA383A-490E-41CF-8106-CF0FB1508BA9}"/>
    <hyperlink ref="A73" location="'6.5'!A1" display="Quadro 6.5" xr:uid="{56A89BB9-3F42-4610-A420-8232B1C533A1}"/>
    <hyperlink ref="A74" location="'6.6'!A1" display="Quadro 6.6" xr:uid="{249850B3-27CE-4756-9D45-C5F66D6542B3}"/>
    <hyperlink ref="A75" location="'6.7'!A1" display="Quadro 6.7" xr:uid="{7D3E1B33-C01D-45F7-A84F-2B3E81117172}"/>
    <hyperlink ref="A76" location="'6.8'!A1" display="Quadro 6.8" xr:uid="{0A2D1602-7A88-4170-98F5-5602017B9343}"/>
    <hyperlink ref="A78" location="'6.10'!A1" display="Quadro 6.10" xr:uid="{A7666F7C-D84E-4DF2-B1BE-03185E9BC629}"/>
    <hyperlink ref="A79" location="'6.11'!A1" display="Quadro 6.11" xr:uid="{6F5BC20E-3FFF-4249-A535-6AB68313FEFC}"/>
    <hyperlink ref="A80" location="'6.12'!A1" display="Quadro 6.12" xr:uid="{A49687A4-0A86-4219-AF18-3904F61B5461}"/>
    <hyperlink ref="A81" location="'6.13'!A1" display="Quadro 6.13" xr:uid="{3D2A443D-6C76-4E43-A60D-BA313CD3FDA7}"/>
    <hyperlink ref="A82" location="'6.14'!A1" display="Quadro 6.14" xr:uid="{4F1613B7-6D7B-4911-8F0E-19A063A10E34}"/>
    <hyperlink ref="A83" location="'6.15'!A1" display="Quadro 6.15" xr:uid="{E26F5B57-9215-46F7-97B8-32A2FA12ADB6}"/>
    <hyperlink ref="A84" location="'6.16'!A1" display="Quadro 6.16" xr:uid="{29C925ED-D067-4ECA-A43F-42E6639D99F7}"/>
    <hyperlink ref="A85" location="'6.17'!A1" display="Quadro 6.17" xr:uid="{FE63809C-3906-46BB-9F4E-A355D24070A4}"/>
    <hyperlink ref="A48" location="'4.13'!A1" display="'4.13'!A1" xr:uid="{80585E4A-8614-4FF9-80CB-5E4C40530BB8}"/>
    <hyperlink ref="A44" location="'4.9'!A1" display="'4.9'!A1" xr:uid="{01AC5A0E-C013-4721-9BFE-4CF801F9EE7B}"/>
    <hyperlink ref="A45" location="'4.10'!A1" display="'4.10'!A1" xr:uid="{0F61B815-15C0-4158-B81F-C7DA574D7EAF}"/>
    <hyperlink ref="A77" location="'6.9'!A1" display="'6.9'!A1" xr:uid="{357E2099-299E-4250-BF61-8E6D3D0C7124}"/>
    <hyperlink ref="A24" location="'2.3'!A1" display="Quadro 2.3  Veículos intervenientes em acidentes com vítimas em Portugal por NUTSI e categoria de veículo" xr:uid="{8D0E3121-B24C-4C9D-A492-70FB0B6B8629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F23"/>
  <sheetViews>
    <sheetView showGridLines="0" zoomScaleNormal="100" workbookViewId="0">
      <selection activeCell="C1" sqref="C1"/>
    </sheetView>
  </sheetViews>
  <sheetFormatPr defaultColWidth="9.109375" defaultRowHeight="15" customHeight="1" x14ac:dyDescent="0.25"/>
  <cols>
    <col min="1" max="1" width="16" style="182" customWidth="1"/>
    <col min="2" max="2" width="107.5546875" style="175" customWidth="1"/>
    <col min="3" max="3" width="3.109375" style="175" customWidth="1"/>
    <col min="4" max="4" width="5.44140625" style="176" customWidth="1"/>
    <col min="5" max="6" width="9.109375" style="176"/>
    <col min="7" max="16384" width="9.109375" style="175"/>
  </cols>
  <sheetData>
    <row r="1" spans="1:6" ht="25.2" customHeight="1" x14ac:dyDescent="0.25">
      <c r="A1" s="212" t="s">
        <v>42</v>
      </c>
      <c r="B1" s="212"/>
    </row>
    <row r="2" spans="1:6" ht="15" customHeight="1" x14ac:dyDescent="0.25">
      <c r="A2" s="177"/>
      <c r="B2" s="178"/>
    </row>
    <row r="3" spans="1:6" ht="15" customHeight="1" x14ac:dyDescent="0.25">
      <c r="A3" s="179" t="s">
        <v>34</v>
      </c>
      <c r="B3" s="176" t="s">
        <v>35</v>
      </c>
      <c r="D3" s="180"/>
      <c r="E3" s="180"/>
      <c r="F3" s="175"/>
    </row>
    <row r="4" spans="1:6" ht="15" customHeight="1" x14ac:dyDescent="0.25">
      <c r="A4" s="181" t="s">
        <v>36</v>
      </c>
      <c r="B4" s="176" t="s">
        <v>37</v>
      </c>
      <c r="D4" s="180"/>
      <c r="E4" s="180"/>
    </row>
    <row r="5" spans="1:6" ht="15" customHeight="1" x14ac:dyDescent="0.25">
      <c r="A5" s="181" t="s">
        <v>46</v>
      </c>
      <c r="B5" s="176" t="s">
        <v>47</v>
      </c>
      <c r="D5" s="180"/>
      <c r="E5" s="180"/>
    </row>
    <row r="6" spans="1:6" ht="15" customHeight="1" x14ac:dyDescent="0.25">
      <c r="A6" s="176" t="s">
        <v>114</v>
      </c>
      <c r="B6" s="180" t="s">
        <v>115</v>
      </c>
      <c r="C6" s="180"/>
      <c r="E6" s="175"/>
      <c r="F6" s="175"/>
    </row>
    <row r="7" spans="1:6" ht="15" customHeight="1" x14ac:dyDescent="0.25">
      <c r="A7" s="176" t="s">
        <v>116</v>
      </c>
      <c r="B7" s="180" t="s">
        <v>118</v>
      </c>
      <c r="C7" s="180"/>
      <c r="E7" s="175"/>
      <c r="F7" s="175"/>
    </row>
    <row r="8" spans="1:6" ht="15" customHeight="1" x14ac:dyDescent="0.25">
      <c r="A8" s="176" t="s">
        <v>117</v>
      </c>
      <c r="B8" s="180" t="s">
        <v>119</v>
      </c>
      <c r="C8" s="180"/>
      <c r="E8" s="175"/>
      <c r="F8" s="175"/>
    </row>
    <row r="9" spans="1:6" ht="15" customHeight="1" x14ac:dyDescent="0.25">
      <c r="A9" s="176" t="s">
        <v>120</v>
      </c>
      <c r="B9" s="180" t="s">
        <v>190</v>
      </c>
      <c r="C9" s="180"/>
      <c r="E9" s="175"/>
      <c r="F9" s="175"/>
    </row>
    <row r="10" spans="1:6" ht="15" customHeight="1" x14ac:dyDescent="0.25">
      <c r="A10" s="176" t="s">
        <v>121</v>
      </c>
      <c r="B10" s="180" t="s">
        <v>191</v>
      </c>
      <c r="C10" s="180"/>
      <c r="E10" s="175"/>
      <c r="F10" s="175"/>
    </row>
    <row r="11" spans="1:6" ht="15" customHeight="1" x14ac:dyDescent="0.25">
      <c r="A11" s="176" t="s">
        <v>122</v>
      </c>
      <c r="B11" s="180" t="s">
        <v>123</v>
      </c>
      <c r="C11" s="180"/>
      <c r="E11" s="175"/>
      <c r="F11" s="175"/>
    </row>
    <row r="12" spans="1:6" ht="15" customHeight="1" x14ac:dyDescent="0.25">
      <c r="A12" s="176" t="s">
        <v>124</v>
      </c>
      <c r="B12" s="180" t="s">
        <v>125</v>
      </c>
      <c r="C12" s="180"/>
      <c r="E12" s="175"/>
      <c r="F12" s="175"/>
    </row>
    <row r="13" spans="1:6" ht="15" customHeight="1" x14ac:dyDescent="0.25">
      <c r="A13" s="181" t="s">
        <v>43</v>
      </c>
      <c r="B13" s="176" t="s">
        <v>192</v>
      </c>
      <c r="D13" s="180"/>
      <c r="E13" s="180"/>
    </row>
    <row r="14" spans="1:6" ht="15" customHeight="1" x14ac:dyDescent="0.25">
      <c r="A14" s="181" t="s">
        <v>38</v>
      </c>
      <c r="B14" s="176" t="s">
        <v>39</v>
      </c>
      <c r="D14" s="180"/>
      <c r="E14" s="180"/>
    </row>
    <row r="15" spans="1:6" ht="15" customHeight="1" x14ac:dyDescent="0.25">
      <c r="A15" s="181" t="s">
        <v>44</v>
      </c>
      <c r="B15" s="176" t="s">
        <v>45</v>
      </c>
      <c r="D15" s="180"/>
      <c r="E15" s="180"/>
    </row>
    <row r="16" spans="1:6" ht="15" customHeight="1" x14ac:dyDescent="0.25">
      <c r="A16" s="181" t="s">
        <v>40</v>
      </c>
      <c r="B16" s="176" t="s">
        <v>41</v>
      </c>
      <c r="D16" s="180"/>
      <c r="E16" s="180"/>
    </row>
    <row r="17" spans="1:2" ht="15" customHeight="1" x14ac:dyDescent="0.25">
      <c r="A17" s="179" t="s">
        <v>50</v>
      </c>
      <c r="B17" s="164" t="s">
        <v>127</v>
      </c>
    </row>
    <row r="18" spans="1:2" ht="15" customHeight="1" x14ac:dyDescent="0.25">
      <c r="A18" s="176" t="s">
        <v>51</v>
      </c>
      <c r="B18" s="176" t="s">
        <v>128</v>
      </c>
    </row>
    <row r="19" spans="1:2" ht="15" customHeight="1" x14ac:dyDescent="0.25">
      <c r="A19" s="176" t="s">
        <v>126</v>
      </c>
      <c r="B19" s="176" t="s">
        <v>129</v>
      </c>
    </row>
    <row r="20" spans="1:2" ht="15" customHeight="1" x14ac:dyDescent="0.25">
      <c r="A20" s="176" t="s">
        <v>130</v>
      </c>
      <c r="B20" s="176" t="s">
        <v>133</v>
      </c>
    </row>
    <row r="21" spans="1:2" ht="15" customHeight="1" x14ac:dyDescent="0.25">
      <c r="A21" s="176" t="s">
        <v>131</v>
      </c>
      <c r="B21" s="176" t="s">
        <v>134</v>
      </c>
    </row>
    <row r="22" spans="1:2" ht="15" customHeight="1" x14ac:dyDescent="0.25">
      <c r="A22" s="176" t="s">
        <v>132</v>
      </c>
      <c r="B22" s="176" t="s">
        <v>135</v>
      </c>
    </row>
    <row r="23" spans="1:2" ht="15" customHeight="1" x14ac:dyDescent="0.25">
      <c r="A23" s="176" t="s">
        <v>49</v>
      </c>
      <c r="B23" s="176" t="s">
        <v>136</v>
      </c>
    </row>
  </sheetData>
  <sortState xmlns:xlrd2="http://schemas.microsoft.com/office/spreadsheetml/2017/richdata2" ref="A3:B17">
    <sortCondition ref="A3:A17"/>
  </sortState>
  <mergeCells count="1">
    <mergeCell ref="A1:B1"/>
  </mergeCells>
  <pageMargins left="0.78740157480314965" right="0.78740157480314965" top="0.78740157480314965" bottom="0.78740157480314965" header="0" footer="0"/>
  <pageSetup paperSize="9" fitToHeight="2" orientation="landscape" horizontalDpi="300" verticalDpi="30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Q30"/>
  <sheetViews>
    <sheetView showGridLines="0" showRuler="0" zoomScale="120" zoomScaleNormal="120" zoomScaleSheetLayoutView="100" workbookViewId="0">
      <selection activeCell="G1" sqref="G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312</v>
      </c>
      <c r="B1" s="8"/>
      <c r="C1" s="8"/>
      <c r="D1" s="8"/>
      <c r="E1" s="8"/>
      <c r="F1" s="8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13" t="s">
        <v>48</v>
      </c>
      <c r="B3" s="215" t="s">
        <v>49</v>
      </c>
      <c r="C3" s="216"/>
      <c r="D3" s="216"/>
      <c r="E3" s="217"/>
      <c r="F3" s="218" t="s">
        <v>50</v>
      </c>
      <c r="G3" s="218"/>
      <c r="H3" s="218"/>
      <c r="I3" s="218"/>
      <c r="J3" s="218" t="s">
        <v>51</v>
      </c>
      <c r="K3" s="218"/>
      <c r="L3" s="218"/>
      <c r="M3" s="218"/>
      <c r="N3" s="218" t="s">
        <v>52</v>
      </c>
      <c r="O3" s="218"/>
      <c r="P3" s="218"/>
      <c r="Q3" s="218"/>
    </row>
    <row r="4" spans="1:17" s="12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4">
        <v>2019</v>
      </c>
      <c r="G4" s="65">
        <v>2023</v>
      </c>
      <c r="H4" s="65">
        <v>2024</v>
      </c>
      <c r="I4" s="66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4">
        <v>2019</v>
      </c>
      <c r="O4" s="65">
        <v>2023</v>
      </c>
      <c r="P4" s="65">
        <v>2024</v>
      </c>
      <c r="Q4" s="66" t="s">
        <v>352</v>
      </c>
    </row>
    <row r="5" spans="1:17" s="12" customFormat="1" ht="12" customHeight="1" x14ac:dyDescent="0.2">
      <c r="A5" s="5" t="s">
        <v>264</v>
      </c>
      <c r="B5" s="68">
        <v>2953</v>
      </c>
      <c r="C5" s="68">
        <v>2780</v>
      </c>
      <c r="D5" s="68">
        <v>2798</v>
      </c>
      <c r="E5" s="80">
        <f t="shared" ref="E5:E16" si="0">D5/C5-1</f>
        <v>6.4748201438848962E-3</v>
      </c>
      <c r="F5" s="86">
        <v>68</v>
      </c>
      <c r="G5" s="86">
        <v>57</v>
      </c>
      <c r="H5" s="86">
        <v>45</v>
      </c>
      <c r="I5" s="80">
        <f t="shared" ref="I5:I16" si="1">H5/G5-1</f>
        <v>-0.21052631578947367</v>
      </c>
      <c r="J5" s="86">
        <v>155</v>
      </c>
      <c r="K5" s="86">
        <v>177</v>
      </c>
      <c r="L5" s="86">
        <v>187</v>
      </c>
      <c r="M5" s="80">
        <f t="shared" ref="M5:M16" si="2">L5/K5-1</f>
        <v>5.6497175141242861E-2</v>
      </c>
      <c r="N5" s="68">
        <v>3515</v>
      </c>
      <c r="O5" s="68">
        <v>3252</v>
      </c>
      <c r="P5" s="68">
        <v>3245</v>
      </c>
      <c r="Q5" s="80">
        <f t="shared" ref="Q5:Q16" si="3">P5/O5-1</f>
        <v>-2.1525215252152785E-3</v>
      </c>
    </row>
    <row r="6" spans="1:17" s="12" customFormat="1" ht="12" customHeight="1" x14ac:dyDescent="0.2">
      <c r="A6" s="5" t="s">
        <v>265</v>
      </c>
      <c r="B6" s="13">
        <v>2470</v>
      </c>
      <c r="C6" s="13">
        <v>2423</v>
      </c>
      <c r="D6" s="13">
        <v>2720</v>
      </c>
      <c r="E6" s="22">
        <f t="shared" si="0"/>
        <v>0.12257531985142389</v>
      </c>
      <c r="F6" s="26">
        <v>48</v>
      </c>
      <c r="G6" s="26">
        <v>46</v>
      </c>
      <c r="H6" s="26">
        <v>41</v>
      </c>
      <c r="I6" s="22">
        <f t="shared" si="1"/>
        <v>-0.10869565217391308</v>
      </c>
      <c r="J6" s="26">
        <v>140</v>
      </c>
      <c r="K6" s="26">
        <v>161</v>
      </c>
      <c r="L6" s="26">
        <v>176</v>
      </c>
      <c r="M6" s="22">
        <f t="shared" si="2"/>
        <v>9.3167701863354102E-2</v>
      </c>
      <c r="N6" s="13">
        <v>2937</v>
      </c>
      <c r="O6" s="13">
        <v>2795</v>
      </c>
      <c r="P6" s="13">
        <v>3199</v>
      </c>
      <c r="Q6" s="22">
        <f t="shared" si="3"/>
        <v>0.14454382826475842</v>
      </c>
    </row>
    <row r="7" spans="1:17" s="12" customFormat="1" ht="12" customHeight="1" x14ac:dyDescent="0.2">
      <c r="A7" s="5" t="s">
        <v>266</v>
      </c>
      <c r="B7" s="13">
        <v>2998</v>
      </c>
      <c r="C7" s="13">
        <v>2800</v>
      </c>
      <c r="D7" s="13">
        <v>2768</v>
      </c>
      <c r="E7" s="22">
        <f t="shared" si="0"/>
        <v>-1.1428571428571455E-2</v>
      </c>
      <c r="F7" s="26">
        <v>46</v>
      </c>
      <c r="G7" s="26">
        <v>43</v>
      </c>
      <c r="H7" s="26">
        <v>43</v>
      </c>
      <c r="I7" s="22">
        <f t="shared" si="1"/>
        <v>0</v>
      </c>
      <c r="J7" s="26">
        <v>202</v>
      </c>
      <c r="K7" s="26">
        <v>174</v>
      </c>
      <c r="L7" s="26">
        <v>172</v>
      </c>
      <c r="M7" s="22">
        <f t="shared" si="2"/>
        <v>-1.1494252873563204E-2</v>
      </c>
      <c r="N7" s="13">
        <v>3603</v>
      </c>
      <c r="O7" s="13">
        <v>3248</v>
      </c>
      <c r="P7" s="13">
        <v>3217</v>
      </c>
      <c r="Q7" s="22">
        <f t="shared" si="3"/>
        <v>-9.5443349753694395E-3</v>
      </c>
    </row>
    <row r="8" spans="1:17" s="12" customFormat="1" ht="12" customHeight="1" x14ac:dyDescent="0.2">
      <c r="A8" s="6" t="s">
        <v>267</v>
      </c>
      <c r="B8" s="13">
        <v>2791</v>
      </c>
      <c r="C8" s="13">
        <v>2960</v>
      </c>
      <c r="D8" s="13">
        <v>3057</v>
      </c>
      <c r="E8" s="22">
        <f t="shared" si="0"/>
        <v>3.2770270270270352E-2</v>
      </c>
      <c r="F8" s="26">
        <v>71</v>
      </c>
      <c r="G8" s="26">
        <v>67</v>
      </c>
      <c r="H8" s="26">
        <v>43</v>
      </c>
      <c r="I8" s="22">
        <f t="shared" si="1"/>
        <v>-0.35820895522388063</v>
      </c>
      <c r="J8" s="26">
        <v>175</v>
      </c>
      <c r="K8" s="26">
        <v>222</v>
      </c>
      <c r="L8" s="26">
        <v>220</v>
      </c>
      <c r="M8" s="22">
        <f t="shared" si="2"/>
        <v>-9.009009009009028E-3</v>
      </c>
      <c r="N8" s="13">
        <v>3429</v>
      </c>
      <c r="O8" s="13">
        <v>3492</v>
      </c>
      <c r="P8" s="13">
        <v>3504</v>
      </c>
      <c r="Q8" s="22">
        <f t="shared" si="3"/>
        <v>3.4364261168384758E-3</v>
      </c>
    </row>
    <row r="9" spans="1:17" s="12" customFormat="1" ht="12" customHeight="1" x14ac:dyDescent="0.2">
      <c r="A9" s="6" t="s">
        <v>268</v>
      </c>
      <c r="B9" s="13">
        <v>3219</v>
      </c>
      <c r="C9" s="13">
        <v>3157</v>
      </c>
      <c r="D9" s="13">
        <v>3337</v>
      </c>
      <c r="E9" s="22">
        <f t="shared" si="0"/>
        <v>5.7016154577130163E-2</v>
      </c>
      <c r="F9" s="26">
        <v>55</v>
      </c>
      <c r="G9" s="26">
        <v>42</v>
      </c>
      <c r="H9" s="26">
        <v>56</v>
      </c>
      <c r="I9" s="22">
        <f t="shared" si="1"/>
        <v>0.33333333333333326</v>
      </c>
      <c r="J9" s="26">
        <v>211</v>
      </c>
      <c r="K9" s="26">
        <v>198</v>
      </c>
      <c r="L9" s="26">
        <v>227</v>
      </c>
      <c r="M9" s="22">
        <f t="shared" si="2"/>
        <v>0.14646464646464641</v>
      </c>
      <c r="N9" s="13">
        <v>3850</v>
      </c>
      <c r="O9" s="13">
        <v>3623</v>
      </c>
      <c r="P9" s="13">
        <v>3864</v>
      </c>
      <c r="Q9" s="22">
        <f t="shared" si="3"/>
        <v>6.6519459011868509E-2</v>
      </c>
    </row>
    <row r="10" spans="1:17" s="12" customFormat="1" ht="12" customHeight="1" x14ac:dyDescent="0.2">
      <c r="A10" s="6" t="s">
        <v>269</v>
      </c>
      <c r="B10" s="13">
        <v>2978</v>
      </c>
      <c r="C10" s="13">
        <v>3193</v>
      </c>
      <c r="D10" s="13">
        <v>3235</v>
      </c>
      <c r="E10" s="22">
        <f t="shared" si="0"/>
        <v>1.3153773880363318E-2</v>
      </c>
      <c r="F10" s="26">
        <v>48</v>
      </c>
      <c r="G10" s="26">
        <v>54</v>
      </c>
      <c r="H10" s="26">
        <v>49</v>
      </c>
      <c r="I10" s="22">
        <f t="shared" si="1"/>
        <v>-9.259259259259256E-2</v>
      </c>
      <c r="J10" s="26">
        <v>211</v>
      </c>
      <c r="K10" s="26">
        <v>245</v>
      </c>
      <c r="L10" s="26">
        <v>228</v>
      </c>
      <c r="M10" s="22">
        <f t="shared" si="2"/>
        <v>-6.9387755102040871E-2</v>
      </c>
      <c r="N10" s="13">
        <v>3613</v>
      </c>
      <c r="O10" s="13">
        <v>3686</v>
      </c>
      <c r="P10" s="13">
        <v>3783</v>
      </c>
      <c r="Q10" s="22">
        <f t="shared" si="3"/>
        <v>2.6315789473684292E-2</v>
      </c>
    </row>
    <row r="11" spans="1:17" s="12" customFormat="1" ht="12" customHeight="1" x14ac:dyDescent="0.2">
      <c r="A11" s="6" t="s">
        <v>270</v>
      </c>
      <c r="B11" s="13">
        <v>3397</v>
      </c>
      <c r="C11" s="13">
        <v>3525</v>
      </c>
      <c r="D11" s="13">
        <v>3587</v>
      </c>
      <c r="E11" s="22">
        <f t="shared" si="0"/>
        <v>1.7588652482269485E-2</v>
      </c>
      <c r="F11" s="26">
        <v>49</v>
      </c>
      <c r="G11" s="26">
        <v>66</v>
      </c>
      <c r="H11" s="26">
        <v>65</v>
      </c>
      <c r="I11" s="22">
        <f t="shared" si="1"/>
        <v>-1.5151515151515138E-2</v>
      </c>
      <c r="J11" s="26">
        <v>221</v>
      </c>
      <c r="K11" s="26">
        <v>274</v>
      </c>
      <c r="L11" s="26">
        <v>274</v>
      </c>
      <c r="M11" s="22">
        <f t="shared" si="2"/>
        <v>0</v>
      </c>
      <c r="N11" s="13">
        <v>4147</v>
      </c>
      <c r="O11" s="13">
        <v>4226</v>
      </c>
      <c r="P11" s="13">
        <v>4179</v>
      </c>
      <c r="Q11" s="22">
        <f t="shared" si="3"/>
        <v>-1.1121628017037422E-2</v>
      </c>
    </row>
    <row r="12" spans="1:17" s="12" customFormat="1" ht="12" customHeight="1" x14ac:dyDescent="0.2">
      <c r="A12" s="7" t="s">
        <v>271</v>
      </c>
      <c r="B12" s="13">
        <v>3448</v>
      </c>
      <c r="C12" s="13">
        <v>3544</v>
      </c>
      <c r="D12" s="13">
        <v>3388</v>
      </c>
      <c r="E12" s="22">
        <f t="shared" si="0"/>
        <v>-4.4018058690744932E-2</v>
      </c>
      <c r="F12" s="26">
        <v>75</v>
      </c>
      <c r="G12" s="26">
        <v>64</v>
      </c>
      <c r="H12" s="26">
        <v>72</v>
      </c>
      <c r="I12" s="22">
        <f t="shared" si="1"/>
        <v>0.125</v>
      </c>
      <c r="J12" s="26">
        <v>297</v>
      </c>
      <c r="K12" s="26">
        <v>285</v>
      </c>
      <c r="L12" s="26">
        <v>265</v>
      </c>
      <c r="M12" s="22">
        <f t="shared" si="2"/>
        <v>-7.0175438596491224E-2</v>
      </c>
      <c r="N12" s="13">
        <v>4303</v>
      </c>
      <c r="O12" s="13">
        <v>4247</v>
      </c>
      <c r="P12" s="13">
        <v>4071</v>
      </c>
      <c r="Q12" s="22">
        <f t="shared" si="3"/>
        <v>-4.1441017188603713E-2</v>
      </c>
    </row>
    <row r="13" spans="1:17" s="12" customFormat="1" ht="12" customHeight="1" x14ac:dyDescent="0.2">
      <c r="A13" s="5" t="s">
        <v>272</v>
      </c>
      <c r="B13" s="13">
        <v>3216</v>
      </c>
      <c r="C13" s="13">
        <v>3229</v>
      </c>
      <c r="D13" s="13">
        <v>3366</v>
      </c>
      <c r="E13" s="22">
        <f t="shared" si="0"/>
        <v>4.2427996283679104E-2</v>
      </c>
      <c r="F13" s="26">
        <v>65</v>
      </c>
      <c r="G13" s="26">
        <v>67</v>
      </c>
      <c r="H13" s="26">
        <v>64</v>
      </c>
      <c r="I13" s="22">
        <f t="shared" si="1"/>
        <v>-4.4776119402985093E-2</v>
      </c>
      <c r="J13" s="26">
        <v>226</v>
      </c>
      <c r="K13" s="26">
        <v>210</v>
      </c>
      <c r="L13" s="26">
        <v>243</v>
      </c>
      <c r="M13" s="22">
        <f t="shared" si="2"/>
        <v>0.15714285714285725</v>
      </c>
      <c r="N13" s="13">
        <v>3887</v>
      </c>
      <c r="O13" s="13">
        <v>3811</v>
      </c>
      <c r="P13" s="13">
        <v>3975</v>
      </c>
      <c r="Q13" s="22">
        <f t="shared" si="3"/>
        <v>4.303332458672271E-2</v>
      </c>
    </row>
    <row r="14" spans="1:17" s="12" customFormat="1" ht="12" customHeight="1" x14ac:dyDescent="0.2">
      <c r="A14" s="5" t="s">
        <v>273</v>
      </c>
      <c r="B14" s="13">
        <v>3445</v>
      </c>
      <c r="C14" s="13">
        <v>3140</v>
      </c>
      <c r="D14" s="13">
        <v>3363</v>
      </c>
      <c r="E14" s="22">
        <f t="shared" si="0"/>
        <v>7.1019108280254706E-2</v>
      </c>
      <c r="F14" s="26">
        <v>56</v>
      </c>
      <c r="G14" s="26">
        <v>55</v>
      </c>
      <c r="H14" s="26">
        <v>45</v>
      </c>
      <c r="I14" s="22">
        <f t="shared" si="1"/>
        <v>-0.18181818181818177</v>
      </c>
      <c r="J14" s="26">
        <v>189</v>
      </c>
      <c r="K14" s="26">
        <v>187</v>
      </c>
      <c r="L14" s="26">
        <v>204</v>
      </c>
      <c r="M14" s="22">
        <f t="shared" si="2"/>
        <v>9.0909090909090828E-2</v>
      </c>
      <c r="N14" s="13">
        <v>4095</v>
      </c>
      <c r="O14" s="13">
        <v>3638</v>
      </c>
      <c r="P14" s="13">
        <v>4014</v>
      </c>
      <c r="Q14" s="22">
        <f t="shared" si="3"/>
        <v>0.10335349092908186</v>
      </c>
    </row>
    <row r="15" spans="1:17" s="12" customFormat="1" ht="12" customHeight="1" x14ac:dyDescent="0.2">
      <c r="A15" s="5" t="s">
        <v>274</v>
      </c>
      <c r="B15" s="13">
        <v>3203</v>
      </c>
      <c r="C15" s="13">
        <v>2974</v>
      </c>
      <c r="D15" s="13">
        <v>3111</v>
      </c>
      <c r="E15" s="22">
        <f t="shared" si="0"/>
        <v>4.6065904505716126E-2</v>
      </c>
      <c r="F15" s="26">
        <v>54</v>
      </c>
      <c r="G15" s="26">
        <v>29</v>
      </c>
      <c r="H15" s="26">
        <v>41</v>
      </c>
      <c r="I15" s="22">
        <f t="shared" si="1"/>
        <v>0.4137931034482758</v>
      </c>
      <c r="J15" s="26">
        <v>180</v>
      </c>
      <c r="K15" s="26">
        <v>173</v>
      </c>
      <c r="L15" s="26">
        <v>212</v>
      </c>
      <c r="M15" s="22">
        <f t="shared" si="2"/>
        <v>0.22543352601156075</v>
      </c>
      <c r="N15" s="13">
        <v>3814</v>
      </c>
      <c r="O15" s="13">
        <v>3487</v>
      </c>
      <c r="P15" s="13">
        <v>3687</v>
      </c>
      <c r="Q15" s="22">
        <f t="shared" si="3"/>
        <v>5.7355893318038476E-2</v>
      </c>
    </row>
    <row r="16" spans="1:17" s="12" customFormat="1" ht="12" customHeight="1" x14ac:dyDescent="0.2">
      <c r="A16" s="6" t="s">
        <v>275</v>
      </c>
      <c r="B16" s="13">
        <v>3133</v>
      </c>
      <c r="C16" s="13">
        <v>2870</v>
      </c>
      <c r="D16" s="13">
        <v>3307</v>
      </c>
      <c r="E16" s="22">
        <f t="shared" si="0"/>
        <v>0.15226480836236944</v>
      </c>
      <c r="F16" s="26">
        <v>53</v>
      </c>
      <c r="G16" s="26">
        <v>52</v>
      </c>
      <c r="H16" s="26">
        <v>54</v>
      </c>
      <c r="I16" s="22">
        <f t="shared" si="1"/>
        <v>3.8461538461538547E-2</v>
      </c>
      <c r="J16" s="26">
        <v>176</v>
      </c>
      <c r="K16" s="26">
        <v>194</v>
      </c>
      <c r="L16" s="26">
        <v>218</v>
      </c>
      <c r="M16" s="22">
        <f t="shared" si="2"/>
        <v>0.12371134020618557</v>
      </c>
      <c r="N16" s="13">
        <v>3741</v>
      </c>
      <c r="O16" s="13">
        <v>3368</v>
      </c>
      <c r="P16" s="13">
        <v>3869</v>
      </c>
      <c r="Q16" s="22">
        <f t="shared" si="3"/>
        <v>0.14875296912114022</v>
      </c>
    </row>
    <row r="17" spans="1:17" s="12" customFormat="1" ht="12" customHeight="1" thickBot="1" x14ac:dyDescent="0.25">
      <c r="A17" s="4" t="s">
        <v>0</v>
      </c>
      <c r="B17" s="23">
        <f>SUM(B5:B16)</f>
        <v>37251</v>
      </c>
      <c r="C17" s="16">
        <v>36595</v>
      </c>
      <c r="D17" s="16">
        <f t="shared" ref="D17" si="4">SUM(D5:D16)</f>
        <v>38037</v>
      </c>
      <c r="E17" s="24">
        <f>D17/C17-1</f>
        <v>3.9404290203579828E-2</v>
      </c>
      <c r="F17" s="23">
        <f t="shared" ref="F17:H17" si="5">SUM(F5:F16)</f>
        <v>688</v>
      </c>
      <c r="G17" s="16">
        <f t="shared" si="5"/>
        <v>642</v>
      </c>
      <c r="H17" s="16">
        <f t="shared" si="5"/>
        <v>618</v>
      </c>
      <c r="I17" s="24">
        <f>H17/G17-1</f>
        <v>-3.7383177570093462E-2</v>
      </c>
      <c r="J17" s="23">
        <f t="shared" ref="J17:L17" si="6">SUM(J5:J16)</f>
        <v>2383</v>
      </c>
      <c r="K17" s="16">
        <f t="shared" si="6"/>
        <v>2500</v>
      </c>
      <c r="L17" s="16">
        <f t="shared" si="6"/>
        <v>2626</v>
      </c>
      <c r="M17" s="24">
        <f>L17/K17-1</f>
        <v>5.04E-2</v>
      </c>
      <c r="N17" s="23">
        <f t="shared" ref="N17:P17" si="7">SUM(N5:N16)</f>
        <v>44934</v>
      </c>
      <c r="O17" s="16">
        <f t="shared" si="7"/>
        <v>42873</v>
      </c>
      <c r="P17" s="16">
        <f t="shared" si="7"/>
        <v>44607</v>
      </c>
      <c r="Q17" s="24">
        <f>P17/O17-1</f>
        <v>4.0445035336925228E-2</v>
      </c>
    </row>
    <row r="18" spans="1:17" s="12" customFormat="1" ht="12" customHeight="1" x14ac:dyDescent="0.2"/>
    <row r="19" spans="1:17" s="12" customFormat="1" ht="12" customHeight="1" x14ac:dyDescent="0.2"/>
    <row r="20" spans="1:17" s="12" customFormat="1" ht="12" customHeight="1" x14ac:dyDescent="0.2"/>
    <row r="21" spans="1:17" s="12" customFormat="1" ht="12" customHeight="1" x14ac:dyDescent="0.2"/>
    <row r="22" spans="1:17" s="12" customFormat="1" ht="12" customHeight="1" x14ac:dyDescent="0.2"/>
    <row r="23" spans="1:17" s="12" customFormat="1" ht="12" customHeight="1" x14ac:dyDescent="0.2"/>
    <row r="24" spans="1:17" s="12" customFormat="1" ht="12" customHeight="1" x14ac:dyDescent="0.2"/>
    <row r="25" spans="1:17" s="12" customFormat="1" ht="12" customHeight="1" x14ac:dyDescent="0.2"/>
    <row r="26" spans="1:17" s="12" customFormat="1" ht="12" customHeight="1" x14ac:dyDescent="0.2"/>
    <row r="27" spans="1:17" ht="12" customHeight="1" x14ac:dyDescent="0.25"/>
    <row r="28" spans="1:17" ht="12" customHeight="1" x14ac:dyDescent="0.25"/>
    <row r="29" spans="1:17" ht="12" customHeight="1" x14ac:dyDescent="0.25"/>
    <row r="30" spans="1:17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52" fitToHeight="2" orientation="portrait" horizontalDpi="300" verticalDpi="300" r:id="rId1"/>
  <headerFooter scaleWithDoc="0" alignWithMargins="0"/>
  <ignoredErrors>
    <ignoredError sqref="B17 J17:L17 N17:Q17 D17:H17" formulaRange="1"/>
    <ignoredError sqref="I17 M17" formula="1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657E-E59E-4ADF-9204-E33A84FD7C4F}">
  <sheetPr codeName="Planilha4"/>
  <dimension ref="A1:Q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313</v>
      </c>
      <c r="B1" s="8"/>
      <c r="C1" s="8"/>
      <c r="D1" s="8"/>
      <c r="E1" s="8"/>
      <c r="F1" s="8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13" t="s">
        <v>59</v>
      </c>
      <c r="B3" s="215" t="s">
        <v>49</v>
      </c>
      <c r="C3" s="216"/>
      <c r="D3" s="216"/>
      <c r="E3" s="217"/>
      <c r="F3" s="216" t="s">
        <v>50</v>
      </c>
      <c r="G3" s="216"/>
      <c r="H3" s="216"/>
      <c r="I3" s="216"/>
      <c r="J3" s="215" t="s">
        <v>51</v>
      </c>
      <c r="K3" s="216"/>
      <c r="L3" s="216"/>
      <c r="M3" s="217"/>
      <c r="N3" s="216" t="s">
        <v>52</v>
      </c>
      <c r="O3" s="216"/>
      <c r="P3" s="216"/>
      <c r="Q3" s="217"/>
    </row>
    <row r="4" spans="1:17" s="12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5">
        <v>2019</v>
      </c>
      <c r="G4" s="65">
        <v>2023</v>
      </c>
      <c r="H4" s="65">
        <v>2024</v>
      </c>
      <c r="I4" s="65" t="s">
        <v>352</v>
      </c>
      <c r="J4" s="65">
        <v>2019</v>
      </c>
      <c r="K4" s="65">
        <v>2023</v>
      </c>
      <c r="L4" s="65">
        <v>2024</v>
      </c>
      <c r="M4" s="65" t="s">
        <v>352</v>
      </c>
      <c r="N4" s="65">
        <v>2019</v>
      </c>
      <c r="O4" s="65">
        <v>2023</v>
      </c>
      <c r="P4" s="65">
        <v>2024</v>
      </c>
      <c r="Q4" s="66" t="s">
        <v>352</v>
      </c>
    </row>
    <row r="5" spans="1:17" s="12" customFormat="1" ht="12" customHeight="1" x14ac:dyDescent="0.2">
      <c r="A5" s="25" t="s">
        <v>339</v>
      </c>
      <c r="B5" s="68">
        <v>5279</v>
      </c>
      <c r="C5" s="68">
        <v>5315</v>
      </c>
      <c r="D5" s="68">
        <v>5499</v>
      </c>
      <c r="E5" s="80">
        <f t="shared" ref="E5:E11" si="0">D5/C5-1</f>
        <v>3.4619002822201317E-2</v>
      </c>
      <c r="F5" s="86">
        <v>91</v>
      </c>
      <c r="G5" s="86">
        <v>83</v>
      </c>
      <c r="H5" s="86">
        <v>60</v>
      </c>
      <c r="I5" s="81">
        <f t="shared" ref="I5:I12" si="1">H5/G5-1</f>
        <v>-0.27710843373493976</v>
      </c>
      <c r="J5" s="86">
        <v>255</v>
      </c>
      <c r="K5" s="86">
        <v>325</v>
      </c>
      <c r="L5" s="86">
        <v>355</v>
      </c>
      <c r="M5" s="80">
        <f t="shared" ref="M5:M11" si="2">L5/K5-1</f>
        <v>9.2307692307692202E-2</v>
      </c>
      <c r="N5" s="68">
        <v>6330</v>
      </c>
      <c r="O5" s="68">
        <v>6116</v>
      </c>
      <c r="P5" s="68">
        <v>6365</v>
      </c>
      <c r="Q5" s="81">
        <f t="shared" ref="Q5:Q11" si="3">P5/O5-1</f>
        <v>4.0712884238064184E-2</v>
      </c>
    </row>
    <row r="6" spans="1:17" s="12" customFormat="1" ht="12" customHeight="1" x14ac:dyDescent="0.2">
      <c r="A6" s="25" t="s">
        <v>340</v>
      </c>
      <c r="B6" s="13">
        <v>5388</v>
      </c>
      <c r="C6" s="13">
        <v>5138</v>
      </c>
      <c r="D6" s="13">
        <v>5592</v>
      </c>
      <c r="E6" s="22">
        <f t="shared" si="0"/>
        <v>8.8361230050603368E-2</v>
      </c>
      <c r="F6" s="26">
        <v>84</v>
      </c>
      <c r="G6" s="26">
        <v>66</v>
      </c>
      <c r="H6" s="26">
        <v>81</v>
      </c>
      <c r="I6" s="15">
        <f t="shared" si="1"/>
        <v>0.22727272727272729</v>
      </c>
      <c r="J6" s="26">
        <v>326</v>
      </c>
      <c r="K6" s="26">
        <v>302</v>
      </c>
      <c r="L6" s="26">
        <v>346</v>
      </c>
      <c r="M6" s="22">
        <f t="shared" si="2"/>
        <v>0.14569536423841067</v>
      </c>
      <c r="N6" s="13">
        <v>6452</v>
      </c>
      <c r="O6" s="13">
        <v>5969</v>
      </c>
      <c r="P6" s="13">
        <v>6508</v>
      </c>
      <c r="Q6" s="15">
        <f t="shared" si="3"/>
        <v>9.0299882727425063E-2</v>
      </c>
    </row>
    <row r="7" spans="1:17" s="12" customFormat="1" ht="12" customHeight="1" x14ac:dyDescent="0.2">
      <c r="A7" s="25" t="s">
        <v>341</v>
      </c>
      <c r="B7" s="13">
        <v>5333</v>
      </c>
      <c r="C7" s="13">
        <v>5235</v>
      </c>
      <c r="D7" s="13">
        <v>5611</v>
      </c>
      <c r="E7" s="22">
        <f t="shared" si="0"/>
        <v>7.1824259789875944E-2</v>
      </c>
      <c r="F7" s="26">
        <v>98</v>
      </c>
      <c r="G7" s="26">
        <v>62</v>
      </c>
      <c r="H7" s="26">
        <v>71</v>
      </c>
      <c r="I7" s="15">
        <f t="shared" si="1"/>
        <v>0.14516129032258074</v>
      </c>
      <c r="J7" s="26">
        <v>284</v>
      </c>
      <c r="K7" s="26">
        <v>320</v>
      </c>
      <c r="L7" s="26">
        <v>362</v>
      </c>
      <c r="M7" s="22">
        <f t="shared" si="2"/>
        <v>0.13125000000000009</v>
      </c>
      <c r="N7" s="13">
        <v>6384</v>
      </c>
      <c r="O7" s="13">
        <v>6065</v>
      </c>
      <c r="P7" s="13">
        <v>6418</v>
      </c>
      <c r="Q7" s="15">
        <f t="shared" si="3"/>
        <v>5.8202802967848299E-2</v>
      </c>
    </row>
    <row r="8" spans="1:17" s="12" customFormat="1" ht="12" customHeight="1" x14ac:dyDescent="0.2">
      <c r="A8" s="25" t="s">
        <v>342</v>
      </c>
      <c r="B8" s="13">
        <v>5593</v>
      </c>
      <c r="C8" s="13">
        <v>5229</v>
      </c>
      <c r="D8" s="13">
        <v>5436</v>
      </c>
      <c r="E8" s="22">
        <f t="shared" si="0"/>
        <v>3.9586919104991347E-2</v>
      </c>
      <c r="F8" s="26">
        <v>88</v>
      </c>
      <c r="G8" s="26">
        <v>87</v>
      </c>
      <c r="H8" s="26">
        <v>79</v>
      </c>
      <c r="I8" s="15">
        <f t="shared" si="1"/>
        <v>-9.1954022988505746E-2</v>
      </c>
      <c r="J8" s="26">
        <v>303</v>
      </c>
      <c r="K8" s="26">
        <v>295</v>
      </c>
      <c r="L8" s="26">
        <v>294</v>
      </c>
      <c r="M8" s="22">
        <f t="shared" si="2"/>
        <v>-3.3898305084745228E-3</v>
      </c>
      <c r="N8" s="13">
        <v>6588</v>
      </c>
      <c r="O8" s="13">
        <v>6154</v>
      </c>
      <c r="P8" s="13">
        <v>6359</v>
      </c>
      <c r="Q8" s="15">
        <f t="shared" si="3"/>
        <v>3.3311667208319795E-2</v>
      </c>
    </row>
    <row r="9" spans="1:17" s="12" customFormat="1" ht="12" customHeight="1" x14ac:dyDescent="0.2">
      <c r="A9" s="25" t="s">
        <v>343</v>
      </c>
      <c r="B9" s="13">
        <v>5789</v>
      </c>
      <c r="C9" s="13">
        <v>5814</v>
      </c>
      <c r="D9" s="13">
        <v>5981</v>
      </c>
      <c r="E9" s="22">
        <f t="shared" si="0"/>
        <v>2.8723770209838406E-2</v>
      </c>
      <c r="F9" s="26">
        <v>104</v>
      </c>
      <c r="G9" s="26">
        <v>91</v>
      </c>
      <c r="H9" s="26">
        <v>102</v>
      </c>
      <c r="I9" s="15">
        <f t="shared" si="1"/>
        <v>0.12087912087912089</v>
      </c>
      <c r="J9" s="26">
        <v>365</v>
      </c>
      <c r="K9" s="26">
        <v>335</v>
      </c>
      <c r="L9" s="26">
        <v>393</v>
      </c>
      <c r="M9" s="22">
        <f t="shared" si="2"/>
        <v>0.17313432835820897</v>
      </c>
      <c r="N9" s="13">
        <v>6901</v>
      </c>
      <c r="O9" s="13">
        <v>6796</v>
      </c>
      <c r="P9" s="13">
        <v>6954</v>
      </c>
      <c r="Q9" s="15">
        <f t="shared" si="3"/>
        <v>2.3248969982342604E-2</v>
      </c>
    </row>
    <row r="10" spans="1:17" s="12" customFormat="1" ht="12" customHeight="1" x14ac:dyDescent="0.2">
      <c r="A10" s="25" t="s">
        <v>53</v>
      </c>
      <c r="B10" s="13">
        <v>5274</v>
      </c>
      <c r="C10" s="13">
        <v>5173</v>
      </c>
      <c r="D10" s="13">
        <v>5181</v>
      </c>
      <c r="E10" s="22">
        <f t="shared" si="0"/>
        <v>1.546491397641514E-3</v>
      </c>
      <c r="F10" s="26">
        <v>108</v>
      </c>
      <c r="G10" s="26">
        <v>131</v>
      </c>
      <c r="H10" s="26">
        <v>100</v>
      </c>
      <c r="I10" s="15">
        <f t="shared" si="1"/>
        <v>-0.23664122137404575</v>
      </c>
      <c r="J10" s="26">
        <v>441</v>
      </c>
      <c r="K10" s="26">
        <v>481</v>
      </c>
      <c r="L10" s="26">
        <v>432</v>
      </c>
      <c r="M10" s="22">
        <f t="shared" si="2"/>
        <v>-0.10187110187110182</v>
      </c>
      <c r="N10" s="13">
        <v>6454</v>
      </c>
      <c r="O10" s="13">
        <v>6159</v>
      </c>
      <c r="P10" s="13">
        <v>6201</v>
      </c>
      <c r="Q10" s="15">
        <f t="shared" si="3"/>
        <v>6.8192888455917977E-3</v>
      </c>
    </row>
    <row r="11" spans="1:17" s="12" customFormat="1" ht="12" customHeight="1" x14ac:dyDescent="0.2">
      <c r="A11" s="25" t="s">
        <v>54</v>
      </c>
      <c r="B11" s="13">
        <v>4595</v>
      </c>
      <c r="C11" s="13">
        <v>4691</v>
      </c>
      <c r="D11" s="13">
        <v>4737</v>
      </c>
      <c r="E11" s="22">
        <f t="shared" si="0"/>
        <v>9.8060115114049218E-3</v>
      </c>
      <c r="F11" s="26">
        <v>115</v>
      </c>
      <c r="G11" s="26">
        <v>122</v>
      </c>
      <c r="H11" s="26">
        <v>125</v>
      </c>
      <c r="I11" s="15">
        <f t="shared" si="1"/>
        <v>2.4590163934426146E-2</v>
      </c>
      <c r="J11" s="26">
        <v>409</v>
      </c>
      <c r="K11" s="26">
        <v>442</v>
      </c>
      <c r="L11" s="26">
        <v>444</v>
      </c>
      <c r="M11" s="22">
        <f t="shared" si="2"/>
        <v>4.5248868778280382E-3</v>
      </c>
      <c r="N11" s="13">
        <v>5825</v>
      </c>
      <c r="O11" s="13">
        <v>5614</v>
      </c>
      <c r="P11" s="13">
        <v>5802</v>
      </c>
      <c r="Q11" s="15">
        <f t="shared" si="3"/>
        <v>3.3487709298183121E-2</v>
      </c>
    </row>
    <row r="12" spans="1:17" s="12" customFormat="1" ht="12" customHeight="1" thickBot="1" x14ac:dyDescent="0.25">
      <c r="A12" s="27" t="s">
        <v>0</v>
      </c>
      <c r="B12" s="23">
        <f>SUM(B5:B11)</f>
        <v>37251</v>
      </c>
      <c r="C12" s="16">
        <f t="shared" ref="C12:D12" si="4">SUM(C5:C11)</f>
        <v>36595</v>
      </c>
      <c r="D12" s="16">
        <f t="shared" si="4"/>
        <v>38037</v>
      </c>
      <c r="E12" s="24">
        <f>D12/C12-1</f>
        <v>3.9404290203579828E-2</v>
      </c>
      <c r="F12" s="16">
        <f>SUM(F5:F11)</f>
        <v>688</v>
      </c>
      <c r="G12" s="16">
        <f>SUM(G5:G11)</f>
        <v>642</v>
      </c>
      <c r="H12" s="16">
        <f>SUM(H5:H11)</f>
        <v>618</v>
      </c>
      <c r="I12" s="17">
        <f t="shared" si="1"/>
        <v>-3.7383177570093462E-2</v>
      </c>
      <c r="J12" s="23">
        <f t="shared" ref="J12:L12" si="5">SUM(J5:J11)</f>
        <v>2383</v>
      </c>
      <c r="K12" s="16">
        <f t="shared" si="5"/>
        <v>2500</v>
      </c>
      <c r="L12" s="16">
        <f t="shared" si="5"/>
        <v>2626</v>
      </c>
      <c r="M12" s="24">
        <f>L12/K12-1</f>
        <v>5.04E-2</v>
      </c>
      <c r="N12" s="16">
        <f t="shared" ref="N12:P12" si="6">SUM(N5:N11)</f>
        <v>44934</v>
      </c>
      <c r="O12" s="16">
        <f t="shared" si="6"/>
        <v>42873</v>
      </c>
      <c r="P12" s="16">
        <f t="shared" si="6"/>
        <v>44607</v>
      </c>
      <c r="Q12" s="17">
        <f>P12/O12-1</f>
        <v>4.0445035336925228E-2</v>
      </c>
    </row>
    <row r="13" spans="1:17" s="12" customFormat="1" ht="12" customHeight="1" x14ac:dyDescent="0.2"/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ht="12" customHeight="1" x14ac:dyDescent="0.25"/>
    <row r="31" ht="12" customHeight="1" x14ac:dyDescent="0.25"/>
    <row r="32" ht="12" customHeight="1" x14ac:dyDescent="0.25"/>
    <row r="33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7" fitToHeight="2" orientation="portrait" horizontalDpi="300" verticalDpi="300" r:id="rId1"/>
  <headerFooter scaleWithDoc="0" alignWithMargins="0"/>
  <ignoredErrors>
    <ignoredError sqref="B12:D12 F12:H12 N12:Q12 J12:L12" formulaRange="1"/>
    <ignoredError sqref="E12 M12 I12" formula="1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66FF-B571-44D6-9895-9A9EBF92E896}">
  <sheetPr codeName="Planilha5"/>
  <dimension ref="A1:Q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314</v>
      </c>
      <c r="B1" s="29"/>
      <c r="C1" s="29"/>
      <c r="D1" s="29"/>
      <c r="E1" s="29"/>
      <c r="F1" s="29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13" t="s">
        <v>60</v>
      </c>
      <c r="B3" s="215" t="s">
        <v>49</v>
      </c>
      <c r="C3" s="216"/>
      <c r="D3" s="216"/>
      <c r="E3" s="217"/>
      <c r="F3" s="216" t="s">
        <v>50</v>
      </c>
      <c r="G3" s="216"/>
      <c r="H3" s="216"/>
      <c r="I3" s="216"/>
      <c r="J3" s="215" t="s">
        <v>51</v>
      </c>
      <c r="K3" s="216"/>
      <c r="L3" s="216"/>
      <c r="M3" s="217"/>
      <c r="N3" s="216" t="s">
        <v>52</v>
      </c>
      <c r="O3" s="216"/>
      <c r="P3" s="216"/>
      <c r="Q3" s="217"/>
    </row>
    <row r="4" spans="1:17" s="12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5">
        <v>2019</v>
      </c>
      <c r="G4" s="65">
        <v>2023</v>
      </c>
      <c r="H4" s="65">
        <v>2024</v>
      </c>
      <c r="I4" s="65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5">
        <v>2019</v>
      </c>
      <c r="O4" s="65">
        <v>2023</v>
      </c>
      <c r="P4" s="65">
        <v>2024</v>
      </c>
      <c r="Q4" s="66" t="s">
        <v>352</v>
      </c>
    </row>
    <row r="5" spans="1:17" s="12" customFormat="1" ht="12" customHeight="1" x14ac:dyDescent="0.2">
      <c r="A5" s="25" t="s">
        <v>225</v>
      </c>
      <c r="B5" s="68">
        <v>1387</v>
      </c>
      <c r="C5" s="68">
        <v>1274</v>
      </c>
      <c r="D5" s="68">
        <v>1309</v>
      </c>
      <c r="E5" s="80">
        <f t="shared" ref="E5:E12" si="0">D5/C5-1</f>
        <v>2.7472527472527375E-2</v>
      </c>
      <c r="F5" s="86">
        <v>43</v>
      </c>
      <c r="G5" s="86">
        <v>44</v>
      </c>
      <c r="H5" s="86">
        <v>43</v>
      </c>
      <c r="I5" s="81">
        <f t="shared" ref="I5:I12" si="1">H5/G5-1</f>
        <v>-2.2727272727272707E-2</v>
      </c>
      <c r="J5" s="86">
        <v>155</v>
      </c>
      <c r="K5" s="86">
        <v>145</v>
      </c>
      <c r="L5" s="86">
        <v>136</v>
      </c>
      <c r="M5" s="80">
        <f t="shared" ref="M5:M12" si="2">L5/K5-1</f>
        <v>-6.2068965517241392E-2</v>
      </c>
      <c r="N5" s="68">
        <v>1656</v>
      </c>
      <c r="O5" s="68">
        <v>1525</v>
      </c>
      <c r="P5" s="68">
        <v>1558</v>
      </c>
      <c r="Q5" s="81">
        <f t="shared" ref="Q5:Q12" si="3">P5/O5-1</f>
        <v>2.1639344262295079E-2</v>
      </c>
    </row>
    <row r="6" spans="1:17" s="12" customFormat="1" ht="12" customHeight="1" x14ac:dyDescent="0.2">
      <c r="A6" s="25" t="s">
        <v>226</v>
      </c>
      <c r="B6" s="26">
        <v>797</v>
      </c>
      <c r="C6" s="26">
        <v>791</v>
      </c>
      <c r="D6" s="26">
        <v>779</v>
      </c>
      <c r="E6" s="22">
        <f t="shared" si="0"/>
        <v>-1.5170670037926715E-2</v>
      </c>
      <c r="F6" s="26">
        <v>26</v>
      </c>
      <c r="G6" s="26">
        <v>39</v>
      </c>
      <c r="H6" s="26">
        <v>32</v>
      </c>
      <c r="I6" s="15">
        <f t="shared" si="1"/>
        <v>-0.17948717948717952</v>
      </c>
      <c r="J6" s="26">
        <v>99</v>
      </c>
      <c r="K6" s="26">
        <v>107</v>
      </c>
      <c r="L6" s="26">
        <v>82</v>
      </c>
      <c r="M6" s="22">
        <f t="shared" si="2"/>
        <v>-0.23364485981308414</v>
      </c>
      <c r="N6" s="26">
        <v>937</v>
      </c>
      <c r="O6" s="26">
        <v>915</v>
      </c>
      <c r="P6" s="26">
        <v>890</v>
      </c>
      <c r="Q6" s="15">
        <f t="shared" si="3"/>
        <v>-2.732240437158473E-2</v>
      </c>
    </row>
    <row r="7" spans="1:17" s="12" customFormat="1" ht="12" customHeight="1" x14ac:dyDescent="0.2">
      <c r="A7" s="25" t="s">
        <v>227</v>
      </c>
      <c r="B7" s="13">
        <v>4157</v>
      </c>
      <c r="C7" s="13">
        <v>4043</v>
      </c>
      <c r="D7" s="13">
        <v>4367</v>
      </c>
      <c r="E7" s="22">
        <f t="shared" si="0"/>
        <v>8.0138511006678126E-2</v>
      </c>
      <c r="F7" s="26">
        <v>57</v>
      </c>
      <c r="G7" s="26">
        <v>69</v>
      </c>
      <c r="H7" s="26">
        <v>86</v>
      </c>
      <c r="I7" s="15">
        <f t="shared" si="1"/>
        <v>0.24637681159420288</v>
      </c>
      <c r="J7" s="26">
        <v>225</v>
      </c>
      <c r="K7" s="26">
        <v>242</v>
      </c>
      <c r="L7" s="26">
        <v>282</v>
      </c>
      <c r="M7" s="22">
        <f t="shared" si="2"/>
        <v>0.165289256198347</v>
      </c>
      <c r="N7" s="13">
        <v>4975</v>
      </c>
      <c r="O7" s="13">
        <v>4681</v>
      </c>
      <c r="P7" s="13">
        <v>5094</v>
      </c>
      <c r="Q7" s="15">
        <f t="shared" si="3"/>
        <v>8.8229010895107818E-2</v>
      </c>
    </row>
    <row r="8" spans="1:17" s="12" customFormat="1" ht="12" customHeight="1" x14ac:dyDescent="0.2">
      <c r="A8" s="25" t="s">
        <v>228</v>
      </c>
      <c r="B8" s="13">
        <v>6047</v>
      </c>
      <c r="C8" s="13">
        <v>6014</v>
      </c>
      <c r="D8" s="13">
        <v>6404</v>
      </c>
      <c r="E8" s="22">
        <f t="shared" si="0"/>
        <v>6.4848686398403688E-2</v>
      </c>
      <c r="F8" s="26">
        <v>83</v>
      </c>
      <c r="G8" s="26">
        <v>83</v>
      </c>
      <c r="H8" s="26">
        <v>65</v>
      </c>
      <c r="I8" s="15">
        <f t="shared" si="1"/>
        <v>-0.2168674698795181</v>
      </c>
      <c r="J8" s="26">
        <v>294</v>
      </c>
      <c r="K8" s="26">
        <v>292</v>
      </c>
      <c r="L8" s="26">
        <v>320</v>
      </c>
      <c r="M8" s="22">
        <f t="shared" si="2"/>
        <v>9.5890410958904049E-2</v>
      </c>
      <c r="N8" s="13">
        <v>7098</v>
      </c>
      <c r="O8" s="13">
        <v>6961</v>
      </c>
      <c r="P8" s="13">
        <v>7391</v>
      </c>
      <c r="Q8" s="15">
        <f t="shared" si="3"/>
        <v>6.177273380261461E-2</v>
      </c>
    </row>
    <row r="9" spans="1:17" s="12" customFormat="1" ht="12" customHeight="1" x14ac:dyDescent="0.2">
      <c r="A9" s="25" t="s">
        <v>229</v>
      </c>
      <c r="B9" s="13">
        <v>6561</v>
      </c>
      <c r="C9" s="13">
        <v>6560</v>
      </c>
      <c r="D9" s="13">
        <v>6837</v>
      </c>
      <c r="E9" s="22">
        <f t="shared" si="0"/>
        <v>4.2225609756097571E-2</v>
      </c>
      <c r="F9" s="26">
        <v>78</v>
      </c>
      <c r="G9" s="26">
        <v>97</v>
      </c>
      <c r="H9" s="26">
        <v>83</v>
      </c>
      <c r="I9" s="15">
        <f t="shared" si="1"/>
        <v>-0.14432989690721654</v>
      </c>
      <c r="J9" s="26">
        <v>326</v>
      </c>
      <c r="K9" s="26">
        <v>411</v>
      </c>
      <c r="L9" s="26">
        <v>439</v>
      </c>
      <c r="M9" s="22">
        <f t="shared" si="2"/>
        <v>6.8126520681265124E-2</v>
      </c>
      <c r="N9" s="13">
        <v>7969</v>
      </c>
      <c r="O9" s="13">
        <v>7692</v>
      </c>
      <c r="P9" s="13">
        <v>8075</v>
      </c>
      <c r="Q9" s="15">
        <f t="shared" si="3"/>
        <v>4.9791991679667191E-2</v>
      </c>
    </row>
    <row r="10" spans="1:17" s="12" customFormat="1" ht="12" customHeight="1" x14ac:dyDescent="0.2">
      <c r="A10" s="25" t="s">
        <v>230</v>
      </c>
      <c r="B10" s="13">
        <v>7745</v>
      </c>
      <c r="C10" s="13">
        <v>7989</v>
      </c>
      <c r="D10" s="13">
        <v>8095</v>
      </c>
      <c r="E10" s="22">
        <f t="shared" si="0"/>
        <v>1.3268243835273585E-2</v>
      </c>
      <c r="F10" s="26">
        <v>142</v>
      </c>
      <c r="G10" s="26">
        <v>104</v>
      </c>
      <c r="H10" s="26">
        <v>112</v>
      </c>
      <c r="I10" s="15">
        <f t="shared" si="1"/>
        <v>7.6923076923076872E-2</v>
      </c>
      <c r="J10" s="26">
        <v>464</v>
      </c>
      <c r="K10" s="26">
        <v>560</v>
      </c>
      <c r="L10" s="26">
        <v>542</v>
      </c>
      <c r="M10" s="22">
        <f t="shared" si="2"/>
        <v>-3.214285714285714E-2</v>
      </c>
      <c r="N10" s="13">
        <v>9561</v>
      </c>
      <c r="O10" s="13">
        <v>9567</v>
      </c>
      <c r="P10" s="13">
        <v>9572</v>
      </c>
      <c r="Q10" s="15">
        <f t="shared" si="3"/>
        <v>5.2262987352347245E-4</v>
      </c>
    </row>
    <row r="11" spans="1:17" s="12" customFormat="1" ht="12" customHeight="1" x14ac:dyDescent="0.2">
      <c r="A11" s="25" t="s">
        <v>231</v>
      </c>
      <c r="B11" s="13">
        <v>7463</v>
      </c>
      <c r="C11" s="13">
        <v>7198</v>
      </c>
      <c r="D11" s="13">
        <v>7282</v>
      </c>
      <c r="E11" s="22">
        <f t="shared" si="0"/>
        <v>1.1669908307863297E-2</v>
      </c>
      <c r="F11" s="26">
        <v>181</v>
      </c>
      <c r="G11" s="26">
        <v>149</v>
      </c>
      <c r="H11" s="26">
        <v>131</v>
      </c>
      <c r="I11" s="15">
        <f t="shared" si="1"/>
        <v>-0.12080536912751683</v>
      </c>
      <c r="J11" s="26">
        <v>534</v>
      </c>
      <c r="K11" s="26">
        <v>518</v>
      </c>
      <c r="L11" s="26">
        <v>579</v>
      </c>
      <c r="M11" s="22">
        <f t="shared" si="2"/>
        <v>0.11776061776061786</v>
      </c>
      <c r="N11" s="13">
        <v>8971</v>
      </c>
      <c r="O11" s="13">
        <v>8314</v>
      </c>
      <c r="P11" s="13">
        <v>8528</v>
      </c>
      <c r="Q11" s="15">
        <f t="shared" si="3"/>
        <v>2.5739716141448099E-2</v>
      </c>
    </row>
    <row r="12" spans="1:17" s="12" customFormat="1" ht="12" customHeight="1" x14ac:dyDescent="0.2">
      <c r="A12" s="25" t="s">
        <v>232</v>
      </c>
      <c r="B12" s="13">
        <v>3094</v>
      </c>
      <c r="C12" s="13">
        <v>2726</v>
      </c>
      <c r="D12" s="13">
        <v>2964</v>
      </c>
      <c r="E12" s="22">
        <f t="shared" si="0"/>
        <v>8.7307410124724871E-2</v>
      </c>
      <c r="F12" s="26">
        <v>78</v>
      </c>
      <c r="G12" s="26">
        <v>57</v>
      </c>
      <c r="H12" s="26">
        <v>66</v>
      </c>
      <c r="I12" s="15">
        <f t="shared" si="1"/>
        <v>0.15789473684210531</v>
      </c>
      <c r="J12" s="26">
        <v>286</v>
      </c>
      <c r="K12" s="26">
        <v>225</v>
      </c>
      <c r="L12" s="26">
        <v>246</v>
      </c>
      <c r="M12" s="22">
        <f t="shared" si="2"/>
        <v>9.3333333333333268E-2</v>
      </c>
      <c r="N12" s="13">
        <v>3767</v>
      </c>
      <c r="O12" s="13">
        <v>3218</v>
      </c>
      <c r="P12" s="13">
        <v>3499</v>
      </c>
      <c r="Q12" s="15">
        <f t="shared" si="3"/>
        <v>8.7321317588564318E-2</v>
      </c>
    </row>
    <row r="13" spans="1:17" s="12" customFormat="1" ht="12" customHeight="1" thickBot="1" x14ac:dyDescent="0.25">
      <c r="A13" s="27" t="s">
        <v>0</v>
      </c>
      <c r="B13" s="23">
        <f>SUM(B5:B12)</f>
        <v>37251</v>
      </c>
      <c r="C13" s="16">
        <f t="shared" ref="C13:D13" si="4">SUM(C5:C12)</f>
        <v>36595</v>
      </c>
      <c r="D13" s="16">
        <f t="shared" si="4"/>
        <v>38037</v>
      </c>
      <c r="E13" s="24">
        <f>D13/C13-1</f>
        <v>3.9404290203579828E-2</v>
      </c>
      <c r="F13" s="16">
        <f>SUM(F5:F12)</f>
        <v>688</v>
      </c>
      <c r="G13" s="16">
        <f t="shared" ref="G13:H13" si="5">SUM(G5:G12)</f>
        <v>642</v>
      </c>
      <c r="H13" s="16">
        <f t="shared" si="5"/>
        <v>618</v>
      </c>
      <c r="I13" s="17">
        <f>H13/G13-1</f>
        <v>-3.7383177570093462E-2</v>
      </c>
      <c r="J13" s="23">
        <f t="shared" ref="J13:L13" si="6">SUM(J5:J12)</f>
        <v>2383</v>
      </c>
      <c r="K13" s="16">
        <f t="shared" si="6"/>
        <v>2500</v>
      </c>
      <c r="L13" s="16">
        <f t="shared" si="6"/>
        <v>2626</v>
      </c>
      <c r="M13" s="24">
        <f>L13/K13-1</f>
        <v>5.04E-2</v>
      </c>
      <c r="N13" s="16">
        <f t="shared" ref="N13:P13" si="7">SUM(N5:N12)</f>
        <v>44934</v>
      </c>
      <c r="O13" s="16">
        <f t="shared" si="7"/>
        <v>42873</v>
      </c>
      <c r="P13" s="16">
        <f t="shared" si="7"/>
        <v>44607</v>
      </c>
      <c r="Q13" s="17">
        <f>P13/O13-1</f>
        <v>4.0445035336925228E-2</v>
      </c>
    </row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ht="12" customHeight="1" x14ac:dyDescent="0.25"/>
    <row r="31" ht="12" customHeight="1" x14ac:dyDescent="0.25"/>
    <row r="32" ht="12" customHeight="1" x14ac:dyDescent="0.25"/>
    <row r="33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6" fitToHeight="2" orientation="portrait" horizontalDpi="300" verticalDpi="300" r:id="rId1"/>
  <headerFooter scaleWithDoc="0" alignWithMargins="0"/>
  <ignoredErrors>
    <ignoredError sqref="B13:D13 F13:L13 N13:Q13" formulaRange="1"/>
    <ignoredError sqref="E13 M13" formula="1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2BB-2F2B-466B-8852-D34747D89FF9}">
  <sheetPr codeName="Planilha6"/>
  <dimension ref="A1:Q33"/>
  <sheetViews>
    <sheetView showGridLines="0" showRuler="0" zoomScale="120" zoomScaleNormal="120" zoomScaleSheetLayoutView="100" workbookViewId="0">
      <selection activeCell="I1" sqref="I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315</v>
      </c>
      <c r="B1" s="29"/>
      <c r="C1" s="29"/>
      <c r="D1" s="29"/>
      <c r="E1" s="29"/>
      <c r="F1" s="29"/>
      <c r="G1" s="33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13" t="s">
        <v>157</v>
      </c>
      <c r="B3" s="215" t="s">
        <v>49</v>
      </c>
      <c r="C3" s="216"/>
      <c r="D3" s="216"/>
      <c r="E3" s="217"/>
      <c r="F3" s="216" t="s">
        <v>50</v>
      </c>
      <c r="G3" s="216"/>
      <c r="H3" s="216"/>
      <c r="I3" s="216"/>
      <c r="J3" s="215" t="s">
        <v>51</v>
      </c>
      <c r="K3" s="216"/>
      <c r="L3" s="216"/>
      <c r="M3" s="217"/>
      <c r="N3" s="216" t="s">
        <v>52</v>
      </c>
      <c r="O3" s="216"/>
      <c r="P3" s="216"/>
      <c r="Q3" s="217"/>
    </row>
    <row r="4" spans="1:17" s="12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5" t="s">
        <v>352</v>
      </c>
      <c r="F4" s="65">
        <v>2019</v>
      </c>
      <c r="G4" s="65">
        <v>2023</v>
      </c>
      <c r="H4" s="65">
        <v>2024</v>
      </c>
      <c r="I4" s="66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5">
        <v>2019</v>
      </c>
      <c r="O4" s="65">
        <v>2023</v>
      </c>
      <c r="P4" s="65">
        <v>2024</v>
      </c>
      <c r="Q4" s="66" t="s">
        <v>352</v>
      </c>
    </row>
    <row r="5" spans="1:17" s="12" customFormat="1" ht="12" customHeight="1" x14ac:dyDescent="0.2">
      <c r="A5" s="25" t="s">
        <v>63</v>
      </c>
      <c r="B5" s="68">
        <v>29835</v>
      </c>
      <c r="C5" s="68">
        <v>30949</v>
      </c>
      <c r="D5" s="68">
        <v>31629</v>
      </c>
      <c r="E5" s="80">
        <f t="shared" ref="E5:E12" si="0">D5/C5-1</f>
        <v>2.1971630747358528E-2</v>
      </c>
      <c r="F5" s="86">
        <v>593</v>
      </c>
      <c r="G5" s="86">
        <v>573</v>
      </c>
      <c r="H5" s="86">
        <v>544</v>
      </c>
      <c r="I5" s="81">
        <f t="shared" ref="I5:I9" si="1">H5/G5-1</f>
        <v>-5.0610820244328059E-2</v>
      </c>
      <c r="J5" s="68">
        <v>2031</v>
      </c>
      <c r="K5" s="68">
        <v>2221</v>
      </c>
      <c r="L5" s="68">
        <v>2271</v>
      </c>
      <c r="M5" s="80">
        <f t="shared" ref="M5:M11" si="2">L5/K5-1</f>
        <v>2.2512381809995485E-2</v>
      </c>
      <c r="N5" s="153">
        <v>35778</v>
      </c>
      <c r="O5" s="68">
        <v>35960</v>
      </c>
      <c r="P5" s="68">
        <v>36834</v>
      </c>
      <c r="Q5" s="81">
        <f t="shared" ref="Q5:Q12" si="3">P5/O5-1</f>
        <v>2.4304783092324866E-2</v>
      </c>
    </row>
    <row r="6" spans="1:17" s="12" customFormat="1" ht="12" customHeight="1" x14ac:dyDescent="0.2">
      <c r="A6" s="25" t="s">
        <v>64</v>
      </c>
      <c r="B6" s="13">
        <v>7055</v>
      </c>
      <c r="C6" s="13">
        <v>5320</v>
      </c>
      <c r="D6" s="13">
        <v>6074</v>
      </c>
      <c r="E6" s="22">
        <f t="shared" si="0"/>
        <v>0.14172932330827059</v>
      </c>
      <c r="F6" s="26">
        <v>88</v>
      </c>
      <c r="G6" s="26">
        <v>60</v>
      </c>
      <c r="H6" s="26">
        <v>66</v>
      </c>
      <c r="I6" s="15">
        <f t="shared" si="1"/>
        <v>0.10000000000000009</v>
      </c>
      <c r="J6" s="26">
        <v>313</v>
      </c>
      <c r="K6" s="26">
        <v>249</v>
      </c>
      <c r="L6" s="26">
        <v>330</v>
      </c>
      <c r="M6" s="22">
        <f t="shared" si="2"/>
        <v>0.32530120481927716</v>
      </c>
      <c r="N6" s="49">
        <v>8682</v>
      </c>
      <c r="O6" s="13">
        <v>6489</v>
      </c>
      <c r="P6" s="13">
        <v>7379</v>
      </c>
      <c r="Q6" s="15">
        <f t="shared" si="3"/>
        <v>0.13715518569887508</v>
      </c>
    </row>
    <row r="7" spans="1:17" s="12" customFormat="1" ht="12" customHeight="1" x14ac:dyDescent="0.2">
      <c r="A7" s="25" t="s">
        <v>65</v>
      </c>
      <c r="B7" s="26">
        <v>234</v>
      </c>
      <c r="C7" s="26">
        <v>215</v>
      </c>
      <c r="D7" s="26">
        <v>210</v>
      </c>
      <c r="E7" s="22">
        <f t="shared" si="0"/>
        <v>-2.3255813953488413E-2</v>
      </c>
      <c r="F7" s="26">
        <v>3</v>
      </c>
      <c r="G7" s="26">
        <v>6</v>
      </c>
      <c r="H7" s="26">
        <v>5</v>
      </c>
      <c r="I7" s="15">
        <f t="shared" si="1"/>
        <v>-0.16666666666666663</v>
      </c>
      <c r="J7" s="26">
        <v>30</v>
      </c>
      <c r="K7" s="26">
        <v>25</v>
      </c>
      <c r="L7" s="26">
        <v>20</v>
      </c>
      <c r="M7" s="22">
        <f t="shared" si="2"/>
        <v>-0.19999999999999996</v>
      </c>
      <c r="N7" s="50">
        <v>302</v>
      </c>
      <c r="O7" s="26">
        <v>296</v>
      </c>
      <c r="P7" s="26">
        <v>251</v>
      </c>
      <c r="Q7" s="15">
        <f t="shared" si="3"/>
        <v>-0.15202702702702697</v>
      </c>
    </row>
    <row r="8" spans="1:17" s="12" customFormat="1" ht="12" customHeight="1" x14ac:dyDescent="0.2">
      <c r="A8" s="25" t="s">
        <v>66</v>
      </c>
      <c r="B8" s="26">
        <v>30</v>
      </c>
      <c r="C8" s="26">
        <v>38</v>
      </c>
      <c r="D8" s="26">
        <v>55</v>
      </c>
      <c r="E8" s="22">
        <f t="shared" si="0"/>
        <v>0.44736842105263164</v>
      </c>
      <c r="F8" s="26">
        <v>1</v>
      </c>
      <c r="G8" s="26">
        <v>2</v>
      </c>
      <c r="H8" s="26">
        <v>3</v>
      </c>
      <c r="I8" s="15">
        <f t="shared" si="1"/>
        <v>0.5</v>
      </c>
      <c r="J8" s="26">
        <v>3</v>
      </c>
      <c r="K8" s="26">
        <v>2</v>
      </c>
      <c r="L8" s="26">
        <v>2</v>
      </c>
      <c r="M8" s="22">
        <f t="shared" si="2"/>
        <v>0</v>
      </c>
      <c r="N8" s="50">
        <v>29</v>
      </c>
      <c r="O8" s="26">
        <v>44</v>
      </c>
      <c r="P8" s="26">
        <v>57</v>
      </c>
      <c r="Q8" s="15">
        <f t="shared" si="3"/>
        <v>0.29545454545454541</v>
      </c>
    </row>
    <row r="9" spans="1:17" s="12" customFormat="1" ht="12" customHeight="1" x14ac:dyDescent="0.2">
      <c r="A9" s="25" t="s">
        <v>67</v>
      </c>
      <c r="B9" s="26">
        <v>8</v>
      </c>
      <c r="C9" s="26">
        <v>20</v>
      </c>
      <c r="D9" s="26">
        <v>7</v>
      </c>
      <c r="E9" s="22">
        <f t="shared" si="0"/>
        <v>-0.65</v>
      </c>
      <c r="F9" s="26">
        <v>0</v>
      </c>
      <c r="G9" s="26">
        <v>1</v>
      </c>
      <c r="H9" s="26">
        <v>0</v>
      </c>
      <c r="I9" s="15">
        <f t="shared" si="1"/>
        <v>-1</v>
      </c>
      <c r="J9" s="26">
        <v>0</v>
      </c>
      <c r="K9" s="26">
        <v>2</v>
      </c>
      <c r="L9" s="26">
        <v>0</v>
      </c>
      <c r="M9" s="22">
        <f t="shared" si="2"/>
        <v>-1</v>
      </c>
      <c r="N9" s="50">
        <v>14</v>
      </c>
      <c r="O9" s="26">
        <v>23</v>
      </c>
      <c r="P9" s="26">
        <v>13</v>
      </c>
      <c r="Q9" s="15">
        <f t="shared" si="3"/>
        <v>-0.43478260869565222</v>
      </c>
    </row>
    <row r="10" spans="1:17" s="12" customFormat="1" ht="12" customHeight="1" x14ac:dyDescent="0.2">
      <c r="A10" s="25" t="s">
        <v>68</v>
      </c>
      <c r="B10" s="26">
        <v>5</v>
      </c>
      <c r="C10" s="26">
        <v>2</v>
      </c>
      <c r="D10" s="26">
        <v>2</v>
      </c>
      <c r="E10" s="22">
        <f t="shared" si="0"/>
        <v>0</v>
      </c>
      <c r="F10" s="26">
        <v>2</v>
      </c>
      <c r="G10" s="26">
        <v>0</v>
      </c>
      <c r="H10" s="26">
        <v>0</v>
      </c>
      <c r="I10" s="15" t="s">
        <v>62</v>
      </c>
      <c r="J10" s="26">
        <v>5</v>
      </c>
      <c r="K10" s="26">
        <v>0</v>
      </c>
      <c r="L10" s="26">
        <v>0</v>
      </c>
      <c r="M10" s="22" t="s">
        <v>62</v>
      </c>
      <c r="N10" s="49">
        <v>7</v>
      </c>
      <c r="O10" s="26">
        <v>2</v>
      </c>
      <c r="P10" s="26">
        <v>2</v>
      </c>
      <c r="Q10" s="15">
        <f t="shared" si="3"/>
        <v>0</v>
      </c>
    </row>
    <row r="11" spans="1:17" s="12" customFormat="1" ht="12" customHeight="1" x14ac:dyDescent="0.2">
      <c r="A11" s="25" t="s">
        <v>69</v>
      </c>
      <c r="B11" s="26">
        <v>31</v>
      </c>
      <c r="C11" s="26">
        <v>11</v>
      </c>
      <c r="D11" s="26">
        <v>19</v>
      </c>
      <c r="E11" s="22">
        <f t="shared" si="0"/>
        <v>0.72727272727272729</v>
      </c>
      <c r="F11" s="26">
        <v>1</v>
      </c>
      <c r="G11" s="26">
        <v>0</v>
      </c>
      <c r="H11" s="26">
        <v>0</v>
      </c>
      <c r="I11" s="15" t="s">
        <v>62</v>
      </c>
      <c r="J11" s="26">
        <v>1</v>
      </c>
      <c r="K11" s="26">
        <v>1</v>
      </c>
      <c r="L11" s="26">
        <v>1</v>
      </c>
      <c r="M11" s="22">
        <f t="shared" si="2"/>
        <v>0</v>
      </c>
      <c r="N11" s="49">
        <v>55</v>
      </c>
      <c r="O11" s="26">
        <v>14</v>
      </c>
      <c r="P11" s="26">
        <v>30</v>
      </c>
      <c r="Q11" s="15">
        <f t="shared" si="3"/>
        <v>1.1428571428571428</v>
      </c>
    </row>
    <row r="12" spans="1:17" s="12" customFormat="1" ht="12" customHeight="1" x14ac:dyDescent="0.2">
      <c r="A12" s="25" t="s">
        <v>70</v>
      </c>
      <c r="B12" s="26">
        <v>53</v>
      </c>
      <c r="C12" s="26">
        <v>40</v>
      </c>
      <c r="D12" s="26">
        <v>41</v>
      </c>
      <c r="E12" s="22">
        <f t="shared" si="0"/>
        <v>2.4999999999999911E-2</v>
      </c>
      <c r="F12" s="26">
        <v>0</v>
      </c>
      <c r="G12" s="26">
        <v>0</v>
      </c>
      <c r="H12" s="26">
        <v>0</v>
      </c>
      <c r="I12" s="15" t="s">
        <v>62</v>
      </c>
      <c r="J12" s="26">
        <v>0</v>
      </c>
      <c r="K12" s="26">
        <v>0</v>
      </c>
      <c r="L12" s="26">
        <v>2</v>
      </c>
      <c r="M12" s="22" t="s">
        <v>62</v>
      </c>
      <c r="N12" s="49">
        <v>67</v>
      </c>
      <c r="O12" s="26">
        <v>45</v>
      </c>
      <c r="P12" s="26">
        <v>41</v>
      </c>
      <c r="Q12" s="15">
        <f t="shared" si="3"/>
        <v>-8.8888888888888906E-2</v>
      </c>
    </row>
    <row r="13" spans="1:17" s="12" customFormat="1" ht="12" customHeight="1" thickBot="1" x14ac:dyDescent="0.25">
      <c r="A13" s="27" t="s">
        <v>0</v>
      </c>
      <c r="B13" s="23">
        <f>SUM(B5:B12)</f>
        <v>37251</v>
      </c>
      <c r="C13" s="16">
        <f t="shared" ref="C13:D13" si="4">SUM(C5:C12)</f>
        <v>36595</v>
      </c>
      <c r="D13" s="16">
        <f t="shared" si="4"/>
        <v>38037</v>
      </c>
      <c r="E13" s="24">
        <f>D13/C13-1</f>
        <v>3.9404290203579828E-2</v>
      </c>
      <c r="F13" s="16">
        <f>SUM(F5:F12)</f>
        <v>688</v>
      </c>
      <c r="G13" s="16">
        <f t="shared" ref="G13:H13" si="5">SUM(G5:G12)</f>
        <v>642</v>
      </c>
      <c r="H13" s="16">
        <f t="shared" si="5"/>
        <v>618</v>
      </c>
      <c r="I13" s="17">
        <f>H13/G13-1</f>
        <v>-3.7383177570093462E-2</v>
      </c>
      <c r="J13" s="23">
        <f t="shared" ref="J13:L13" si="6">SUM(J5:J12)</f>
        <v>2383</v>
      </c>
      <c r="K13" s="16">
        <f t="shared" si="6"/>
        <v>2500</v>
      </c>
      <c r="L13" s="16">
        <f t="shared" si="6"/>
        <v>2626</v>
      </c>
      <c r="M13" s="24">
        <f>L13/K13-1</f>
        <v>5.04E-2</v>
      </c>
      <c r="N13" s="16">
        <f t="shared" ref="N13:P13" si="7">SUM(N5:N12)</f>
        <v>44934</v>
      </c>
      <c r="O13" s="16">
        <f t="shared" si="7"/>
        <v>42873</v>
      </c>
      <c r="P13" s="16">
        <f t="shared" si="7"/>
        <v>44607</v>
      </c>
      <c r="Q13" s="17">
        <f>P13/O13-1</f>
        <v>4.0445035336925228E-2</v>
      </c>
    </row>
    <row r="14" spans="1:17" s="12" customFormat="1" ht="12" customHeight="1" x14ac:dyDescent="0.2">
      <c r="A14" s="40" t="s">
        <v>338</v>
      </c>
    </row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ht="12" customHeight="1" x14ac:dyDescent="0.25"/>
    <row r="31" ht="12" customHeight="1" x14ac:dyDescent="0.25"/>
    <row r="32" ht="12" customHeight="1" x14ac:dyDescent="0.25"/>
    <row r="33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83" fitToHeight="2" orientation="portrait" horizontalDpi="300" verticalDpi="300" r:id="rId1"/>
  <headerFooter scaleWithDoc="0" alignWithMargins="0"/>
  <ignoredErrors>
    <ignoredError sqref="B13:D13 F13:L13 N13:Q13" formulaRange="1"/>
    <ignoredError sqref="E13 M13" formula="1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0647-F7A5-4863-BDE3-79008DEC30FE}">
  <sheetPr codeName="Planilha7">
    <tabColor theme="0" tint="-4.9989318521683403E-2"/>
  </sheetPr>
  <dimension ref="A1:Q33"/>
  <sheetViews>
    <sheetView showGridLines="0" showRuler="0" zoomScale="120" zoomScaleNormal="120" zoomScaleSheetLayoutView="100" workbookViewId="0">
      <selection activeCell="J1" sqref="J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316</v>
      </c>
      <c r="B1" s="29"/>
      <c r="C1" s="29"/>
      <c r="D1" s="29"/>
      <c r="E1" s="29"/>
      <c r="F1" s="29"/>
      <c r="G1" s="33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13" t="s">
        <v>71</v>
      </c>
      <c r="B3" s="215" t="s">
        <v>49</v>
      </c>
      <c r="C3" s="216"/>
      <c r="D3" s="216"/>
      <c r="E3" s="217"/>
      <c r="F3" s="216" t="s">
        <v>50</v>
      </c>
      <c r="G3" s="216"/>
      <c r="H3" s="216"/>
      <c r="I3" s="216"/>
      <c r="J3" s="215" t="s">
        <v>51</v>
      </c>
      <c r="K3" s="216"/>
      <c r="L3" s="216"/>
      <c r="M3" s="217"/>
      <c r="N3" s="216" t="s">
        <v>52</v>
      </c>
      <c r="O3" s="216"/>
      <c r="P3" s="216"/>
      <c r="Q3" s="217"/>
    </row>
    <row r="4" spans="1:17" s="12" customFormat="1" ht="24.9" customHeight="1" x14ac:dyDescent="0.2">
      <c r="A4" s="214"/>
      <c r="B4" s="65">
        <v>2019</v>
      </c>
      <c r="C4" s="65">
        <v>2023</v>
      </c>
      <c r="D4" s="65">
        <v>2024</v>
      </c>
      <c r="E4" s="66" t="s">
        <v>352</v>
      </c>
      <c r="F4" s="65">
        <v>2019</v>
      </c>
      <c r="G4" s="65">
        <v>2023</v>
      </c>
      <c r="H4" s="65">
        <v>2024</v>
      </c>
      <c r="I4" s="66" t="s">
        <v>352</v>
      </c>
      <c r="J4" s="65">
        <v>2019</v>
      </c>
      <c r="K4" s="65">
        <v>2023</v>
      </c>
      <c r="L4" s="65">
        <v>2024</v>
      </c>
      <c r="M4" s="66" t="s">
        <v>352</v>
      </c>
      <c r="N4" s="65">
        <v>2019</v>
      </c>
      <c r="O4" s="65">
        <v>2023</v>
      </c>
      <c r="P4" s="65">
        <v>2024</v>
      </c>
      <c r="Q4" s="66" t="s">
        <v>352</v>
      </c>
    </row>
    <row r="5" spans="1:17" s="12" customFormat="1" ht="12" customHeight="1" x14ac:dyDescent="0.2">
      <c r="A5" s="25" t="s">
        <v>72</v>
      </c>
      <c r="B5" s="68">
        <v>26208</v>
      </c>
      <c r="C5" s="68">
        <v>26915</v>
      </c>
      <c r="D5" s="68">
        <v>27981</v>
      </c>
      <c r="E5" s="80">
        <f t="shared" ref="E5:E8" si="0">D5/C5-1</f>
        <v>3.960616756455515E-2</v>
      </c>
      <c r="F5" s="86">
        <v>406</v>
      </c>
      <c r="G5" s="86">
        <v>391</v>
      </c>
      <c r="H5" s="86">
        <v>368</v>
      </c>
      <c r="I5" s="81">
        <f t="shared" ref="I5:I7" si="1">H5/G5-1</f>
        <v>-5.8823529411764719E-2</v>
      </c>
      <c r="J5" s="68">
        <v>1434</v>
      </c>
      <c r="K5" s="68">
        <v>1686</v>
      </c>
      <c r="L5" s="68">
        <v>1761</v>
      </c>
      <c r="M5" s="80">
        <f t="shared" ref="M5:M7" si="2">L5/K5-1</f>
        <v>4.4483985765124467E-2</v>
      </c>
      <c r="N5" s="68">
        <v>31690</v>
      </c>
      <c r="O5" s="68">
        <v>31560</v>
      </c>
      <c r="P5" s="68">
        <v>32851</v>
      </c>
      <c r="Q5" s="81">
        <f t="shared" ref="Q5:Q8" si="3">P5/O5-1</f>
        <v>4.090621039290232E-2</v>
      </c>
    </row>
    <row r="6" spans="1:17" s="12" customFormat="1" ht="12" customHeight="1" x14ac:dyDescent="0.2">
      <c r="A6" s="25" t="s">
        <v>73</v>
      </c>
      <c r="B6" s="13">
        <v>9463</v>
      </c>
      <c r="C6" s="13">
        <v>8334</v>
      </c>
      <c r="D6" s="13">
        <v>9016</v>
      </c>
      <c r="E6" s="22">
        <f t="shared" si="0"/>
        <v>8.1833453323734151E-2</v>
      </c>
      <c r="F6" s="26">
        <v>256</v>
      </c>
      <c r="G6" s="26">
        <v>219</v>
      </c>
      <c r="H6" s="26">
        <v>222</v>
      </c>
      <c r="I6" s="15">
        <f t="shared" si="1"/>
        <v>1.3698630136986356E-2</v>
      </c>
      <c r="J6" s="26">
        <v>843</v>
      </c>
      <c r="K6" s="26">
        <v>715</v>
      </c>
      <c r="L6" s="26">
        <v>761</v>
      </c>
      <c r="M6" s="22">
        <f t="shared" si="2"/>
        <v>6.4335664335664289E-2</v>
      </c>
      <c r="N6" s="13">
        <v>11350</v>
      </c>
      <c r="O6" s="13">
        <v>9742</v>
      </c>
      <c r="P6" s="13">
        <v>10556</v>
      </c>
      <c r="Q6" s="15">
        <f t="shared" si="3"/>
        <v>8.3555738041469985E-2</v>
      </c>
    </row>
    <row r="7" spans="1:17" s="12" customFormat="1" ht="12" customHeight="1" x14ac:dyDescent="0.2">
      <c r="A7" s="25" t="s">
        <v>205</v>
      </c>
      <c r="B7" s="13">
        <v>1559</v>
      </c>
      <c r="C7" s="13">
        <v>1345</v>
      </c>
      <c r="D7" s="13">
        <v>1040</v>
      </c>
      <c r="E7" s="35">
        <f t="shared" si="0"/>
        <v>-0.22676579925650553</v>
      </c>
      <c r="F7" s="26">
        <v>26</v>
      </c>
      <c r="G7" s="26">
        <v>32</v>
      </c>
      <c r="H7" s="26">
        <v>28</v>
      </c>
      <c r="I7" s="34">
        <f t="shared" si="1"/>
        <v>-0.125</v>
      </c>
      <c r="J7" s="26">
        <v>105</v>
      </c>
      <c r="K7" s="26">
        <v>99</v>
      </c>
      <c r="L7" s="26">
        <v>104</v>
      </c>
      <c r="M7" s="35">
        <f t="shared" si="2"/>
        <v>5.0505050505050608E-2</v>
      </c>
      <c r="N7" s="13">
        <v>1867</v>
      </c>
      <c r="O7" s="13">
        <v>1570</v>
      </c>
      <c r="P7" s="13">
        <v>1200</v>
      </c>
      <c r="Q7" s="34">
        <f t="shared" si="3"/>
        <v>-0.23566878980891715</v>
      </c>
    </row>
    <row r="8" spans="1:17" s="12" customFormat="1" ht="12" customHeight="1" x14ac:dyDescent="0.2">
      <c r="A8" s="25" t="s">
        <v>70</v>
      </c>
      <c r="B8" s="26">
        <v>21</v>
      </c>
      <c r="C8" s="26">
        <v>1</v>
      </c>
      <c r="D8" s="26">
        <v>0</v>
      </c>
      <c r="E8" s="35">
        <f t="shared" si="0"/>
        <v>-1</v>
      </c>
      <c r="F8" s="26">
        <v>0</v>
      </c>
      <c r="G8" s="26">
        <v>0</v>
      </c>
      <c r="H8" s="26">
        <v>0</v>
      </c>
      <c r="I8" s="34" t="s">
        <v>62</v>
      </c>
      <c r="J8" s="26">
        <v>1</v>
      </c>
      <c r="K8" s="26">
        <v>0</v>
      </c>
      <c r="L8" s="26">
        <v>0</v>
      </c>
      <c r="M8" s="35" t="s">
        <v>62</v>
      </c>
      <c r="N8" s="26">
        <v>27</v>
      </c>
      <c r="O8" s="26">
        <v>1</v>
      </c>
      <c r="P8" s="26">
        <v>0</v>
      </c>
      <c r="Q8" s="34">
        <f t="shared" si="3"/>
        <v>-1</v>
      </c>
    </row>
    <row r="9" spans="1:17" s="12" customFormat="1" ht="12" customHeight="1" thickBot="1" x14ac:dyDescent="0.25">
      <c r="A9" s="27" t="s">
        <v>0</v>
      </c>
      <c r="B9" s="23">
        <f>SUM(B5:B8)</f>
        <v>37251</v>
      </c>
      <c r="C9" s="16">
        <f t="shared" ref="C9:D9" si="4">SUM(C5:C8)</f>
        <v>36595</v>
      </c>
      <c r="D9" s="16">
        <f t="shared" si="4"/>
        <v>38037</v>
      </c>
      <c r="E9" s="24">
        <f>D9/C9-1</f>
        <v>3.9404290203579828E-2</v>
      </c>
      <c r="F9" s="16">
        <f>SUM(F5:F8)</f>
        <v>688</v>
      </c>
      <c r="G9" s="16">
        <f t="shared" ref="G9:H9" si="5">SUM(G5:G8)</f>
        <v>642</v>
      </c>
      <c r="H9" s="16">
        <f t="shared" si="5"/>
        <v>618</v>
      </c>
      <c r="I9" s="17">
        <f>H9/G9-1</f>
        <v>-3.7383177570093462E-2</v>
      </c>
      <c r="J9" s="23">
        <f t="shared" ref="J9:L9" si="6">SUM(J5:J8)</f>
        <v>2383</v>
      </c>
      <c r="K9" s="16">
        <f t="shared" si="6"/>
        <v>2500</v>
      </c>
      <c r="L9" s="16">
        <f t="shared" si="6"/>
        <v>2626</v>
      </c>
      <c r="M9" s="24">
        <f>L9/K9-1</f>
        <v>5.04E-2</v>
      </c>
      <c r="N9" s="16">
        <f t="shared" ref="N9:P9" si="7">SUM(N5:N8)</f>
        <v>44934</v>
      </c>
      <c r="O9" s="16">
        <f t="shared" si="7"/>
        <v>42873</v>
      </c>
      <c r="P9" s="16">
        <f t="shared" si="7"/>
        <v>44607</v>
      </c>
      <c r="Q9" s="17">
        <f>P9/O9-1</f>
        <v>4.0445035336925228E-2</v>
      </c>
    </row>
    <row r="10" spans="1:17" s="12" customFormat="1" ht="12" customHeight="1" x14ac:dyDescent="0.2">
      <c r="A10" s="40" t="s">
        <v>338</v>
      </c>
    </row>
    <row r="11" spans="1:17" s="12" customFormat="1" ht="12" customHeight="1" x14ac:dyDescent="0.2"/>
    <row r="12" spans="1:17" s="12" customFormat="1" ht="12" customHeight="1" x14ac:dyDescent="0.2"/>
    <row r="13" spans="1:17" s="12" customFormat="1" ht="12" customHeight="1" x14ac:dyDescent="0.2"/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ht="12" customHeight="1" x14ac:dyDescent="0.25"/>
    <row r="31" ht="12" customHeight="1" x14ac:dyDescent="0.25"/>
    <row r="32" ht="12" customHeight="1" x14ac:dyDescent="0.25"/>
    <row r="33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2" fitToHeight="2" orientation="portrait" horizontalDpi="300" verticalDpi="300" r:id="rId1"/>
  <headerFooter scaleWithDoc="0" alignWithMargins="0"/>
  <ignoredErrors>
    <ignoredError sqref="B9:D9 F9:L9 N9:Q9" formulaRange="1"/>
    <ignoredError sqref="E9 M9" formula="1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FC74-B4CF-4906-9792-67C1EE92A1BF}">
  <sheetPr codeName="Planilha8">
    <tabColor theme="0" tint="-4.9989318521683403E-2"/>
  </sheetPr>
  <dimension ref="A1:Q33"/>
  <sheetViews>
    <sheetView showGridLines="0" showRuler="0" zoomScale="120" zoomScaleNormal="120" zoomScaleSheetLayoutView="100" workbookViewId="0">
      <selection activeCell="I1" sqref="I1"/>
    </sheetView>
  </sheetViews>
  <sheetFormatPr defaultColWidth="7.88671875" defaultRowHeight="13.2" x14ac:dyDescent="0.25"/>
  <cols>
    <col min="1" max="1" width="11.332031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317</v>
      </c>
      <c r="B1" s="29"/>
      <c r="C1" s="29"/>
      <c r="D1" s="29"/>
      <c r="E1" s="29"/>
      <c r="F1" s="29"/>
      <c r="G1" s="33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13" t="s">
        <v>61</v>
      </c>
      <c r="B3" s="215" t="s">
        <v>49</v>
      </c>
      <c r="C3" s="216"/>
      <c r="D3" s="216"/>
      <c r="E3" s="217"/>
      <c r="F3" s="216" t="s">
        <v>50</v>
      </c>
      <c r="G3" s="216"/>
      <c r="H3" s="216"/>
      <c r="I3" s="216"/>
      <c r="J3" s="215" t="s">
        <v>51</v>
      </c>
      <c r="K3" s="216"/>
      <c r="L3" s="216"/>
      <c r="M3" s="217"/>
      <c r="N3" s="216" t="s">
        <v>52</v>
      </c>
      <c r="O3" s="216"/>
      <c r="P3" s="216"/>
      <c r="Q3" s="217"/>
    </row>
    <row r="4" spans="1:17" s="12" customFormat="1" ht="24.9" customHeight="1" x14ac:dyDescent="0.2">
      <c r="A4" s="214"/>
      <c r="B4" s="65">
        <v>2019</v>
      </c>
      <c r="C4" s="65">
        <v>2023</v>
      </c>
      <c r="D4" s="65">
        <v>2024</v>
      </c>
      <c r="E4" s="66" t="s">
        <v>352</v>
      </c>
      <c r="F4" s="65">
        <v>2019</v>
      </c>
      <c r="G4" s="65">
        <v>2023</v>
      </c>
      <c r="H4" s="65">
        <v>2024</v>
      </c>
      <c r="I4" s="66" t="s">
        <v>352</v>
      </c>
      <c r="J4" s="65">
        <v>2019</v>
      </c>
      <c r="K4" s="65">
        <v>2023</v>
      </c>
      <c r="L4" s="65">
        <v>2024</v>
      </c>
      <c r="M4" s="66" t="s">
        <v>352</v>
      </c>
      <c r="N4" s="65">
        <v>2019</v>
      </c>
      <c r="O4" s="65">
        <v>2023</v>
      </c>
      <c r="P4" s="65">
        <v>2024</v>
      </c>
      <c r="Q4" s="66" t="s">
        <v>352</v>
      </c>
    </row>
    <row r="5" spans="1:17" s="12" customFormat="1" ht="12" customHeight="1" x14ac:dyDescent="0.2">
      <c r="A5" s="25" t="s">
        <v>55</v>
      </c>
      <c r="B5" s="68">
        <v>5565</v>
      </c>
      <c r="C5" s="68">
        <v>4873</v>
      </c>
      <c r="D5" s="68">
        <v>5073</v>
      </c>
      <c r="E5" s="80">
        <f t="shared" ref="E5:E7" si="0">D5/C5-1</f>
        <v>4.1042478965729545E-2</v>
      </c>
      <c r="F5" s="86">
        <v>134</v>
      </c>
      <c r="G5" s="86">
        <v>106</v>
      </c>
      <c r="H5" s="86">
        <v>107</v>
      </c>
      <c r="I5" s="81">
        <f t="shared" ref="I5:I7" si="1">H5/G5-1</f>
        <v>9.4339622641510523E-3</v>
      </c>
      <c r="J5" s="86">
        <v>427</v>
      </c>
      <c r="K5" s="86">
        <v>346</v>
      </c>
      <c r="L5" s="86">
        <v>404</v>
      </c>
      <c r="M5" s="80">
        <f t="shared" ref="M5:M7" si="2">L5/K5-1</f>
        <v>0.16763005780346818</v>
      </c>
      <c r="N5" s="68">
        <v>5513</v>
      </c>
      <c r="O5" s="68">
        <v>4787</v>
      </c>
      <c r="P5" s="68">
        <v>5030</v>
      </c>
      <c r="Q5" s="81">
        <f t="shared" ref="Q5:Q7" si="3">P5/O5-1</f>
        <v>5.0762481721328578E-2</v>
      </c>
    </row>
    <row r="6" spans="1:17" s="12" customFormat="1" ht="12" customHeight="1" x14ac:dyDescent="0.2">
      <c r="A6" s="25" t="s">
        <v>56</v>
      </c>
      <c r="B6" s="13">
        <v>19518</v>
      </c>
      <c r="C6" s="13">
        <v>19238</v>
      </c>
      <c r="D6" s="13">
        <v>20356</v>
      </c>
      <c r="E6" s="22">
        <f t="shared" si="0"/>
        <v>5.8114149079945943E-2</v>
      </c>
      <c r="F6" s="26">
        <v>265</v>
      </c>
      <c r="G6" s="26">
        <v>260</v>
      </c>
      <c r="H6" s="26">
        <v>275</v>
      </c>
      <c r="I6" s="15">
        <f t="shared" si="1"/>
        <v>5.7692307692307709E-2</v>
      </c>
      <c r="J6" s="13">
        <v>1012</v>
      </c>
      <c r="K6" s="26">
        <v>1152</v>
      </c>
      <c r="L6" s="13">
        <v>1214</v>
      </c>
      <c r="M6" s="22">
        <f t="shared" si="2"/>
        <v>5.381944444444442E-2</v>
      </c>
      <c r="N6" s="13">
        <v>25880</v>
      </c>
      <c r="O6" s="13">
        <v>24565</v>
      </c>
      <c r="P6" s="13">
        <v>26016</v>
      </c>
      <c r="Q6" s="15">
        <f t="shared" si="3"/>
        <v>5.9067779360879369E-2</v>
      </c>
    </row>
    <row r="7" spans="1:17" s="12" customFormat="1" ht="12" customHeight="1" x14ac:dyDescent="0.2">
      <c r="A7" s="25" t="s">
        <v>57</v>
      </c>
      <c r="B7" s="13">
        <v>12168</v>
      </c>
      <c r="C7" s="13">
        <v>12484</v>
      </c>
      <c r="D7" s="13">
        <v>12608</v>
      </c>
      <c r="E7" s="22">
        <f t="shared" si="0"/>
        <v>9.9327138737583809E-3</v>
      </c>
      <c r="F7" s="26">
        <v>289</v>
      </c>
      <c r="G7" s="26">
        <v>276</v>
      </c>
      <c r="H7" s="26">
        <v>236</v>
      </c>
      <c r="I7" s="15">
        <f t="shared" si="1"/>
        <v>-0.14492753623188404</v>
      </c>
      <c r="J7" s="26">
        <v>944</v>
      </c>
      <c r="K7" s="26">
        <v>1002</v>
      </c>
      <c r="L7" s="13">
        <v>1008</v>
      </c>
      <c r="M7" s="22">
        <f t="shared" si="2"/>
        <v>5.9880239520957446E-3</v>
      </c>
      <c r="N7" s="13">
        <v>13541</v>
      </c>
      <c r="O7" s="13">
        <v>13521</v>
      </c>
      <c r="P7" s="13">
        <v>13561</v>
      </c>
      <c r="Q7" s="15">
        <f t="shared" si="3"/>
        <v>2.9583610679684291E-3</v>
      </c>
    </row>
    <row r="8" spans="1:17" s="12" customFormat="1" ht="12" customHeight="1" thickBot="1" x14ac:dyDescent="0.25">
      <c r="A8" s="27" t="s">
        <v>0</v>
      </c>
      <c r="B8" s="23">
        <f>SUM(B5:B7)</f>
        <v>37251</v>
      </c>
      <c r="C8" s="16">
        <f t="shared" ref="C8:D8" si="4">SUM(C5:C7)</f>
        <v>36595</v>
      </c>
      <c r="D8" s="16">
        <f t="shared" si="4"/>
        <v>38037</v>
      </c>
      <c r="E8" s="24">
        <f>D8/C8-1</f>
        <v>3.9404290203579828E-2</v>
      </c>
      <c r="F8" s="16">
        <f>SUM(F5:F7)</f>
        <v>688</v>
      </c>
      <c r="G8" s="16">
        <f t="shared" ref="G8:H8" si="5">SUM(G5:G7)</f>
        <v>642</v>
      </c>
      <c r="H8" s="16">
        <f t="shared" si="5"/>
        <v>618</v>
      </c>
      <c r="I8" s="17">
        <f>H8/G8-1</f>
        <v>-3.7383177570093462E-2</v>
      </c>
      <c r="J8" s="23">
        <f t="shared" ref="J8:L8" si="6">SUM(J5:J7)</f>
        <v>2383</v>
      </c>
      <c r="K8" s="16">
        <f t="shared" si="6"/>
        <v>2500</v>
      </c>
      <c r="L8" s="16">
        <f t="shared" si="6"/>
        <v>2626</v>
      </c>
      <c r="M8" s="24">
        <f>L8/K8-1</f>
        <v>5.04E-2</v>
      </c>
      <c r="N8" s="16">
        <f t="shared" ref="N8:P8" si="7">SUM(N5:N7)</f>
        <v>44934</v>
      </c>
      <c r="O8" s="16">
        <f t="shared" si="7"/>
        <v>42873</v>
      </c>
      <c r="P8" s="16">
        <f t="shared" si="7"/>
        <v>44607</v>
      </c>
      <c r="Q8" s="17">
        <f>P8/O8-1</f>
        <v>4.0445035336925228E-2</v>
      </c>
    </row>
    <row r="9" spans="1:17" s="12" customFormat="1" ht="12" customHeight="1" x14ac:dyDescent="0.2"/>
    <row r="10" spans="1:17" s="12" customFormat="1" ht="12" customHeight="1" x14ac:dyDescent="0.2"/>
    <row r="11" spans="1:17" s="12" customFormat="1" ht="12" customHeight="1" x14ac:dyDescent="0.2"/>
    <row r="12" spans="1:17" s="12" customFormat="1" ht="12" customHeight="1" x14ac:dyDescent="0.2"/>
    <row r="13" spans="1:17" s="12" customFormat="1" ht="12" customHeight="1" x14ac:dyDescent="0.2"/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ht="12" customHeight="1" x14ac:dyDescent="0.25"/>
    <row r="31" ht="12" customHeight="1" x14ac:dyDescent="0.25"/>
    <row r="32" ht="12" customHeight="1" x14ac:dyDescent="0.25"/>
    <row r="33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6" fitToHeight="2" orientation="portrait" horizontalDpi="300" verticalDpi="300" r:id="rId1"/>
  <headerFooter scaleWithDoc="0" alignWithMargins="0"/>
  <ignoredErrors>
    <ignoredError sqref="B8:D8 N8:Q8" formulaRange="1"/>
    <ignoredError sqref="E8:M8" formula="1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EC76-E4CA-4AF1-A2F0-050C2B876B94}">
  <sheetPr codeName="Planilha9">
    <tabColor theme="0" tint="-4.9989318521683403E-2"/>
  </sheetPr>
  <dimension ref="A1:R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8.88671875" style="9" customWidth="1"/>
    <col min="2" max="2" width="22.44140625" style="9" customWidth="1"/>
    <col min="3" max="18" width="7.6640625" style="9" customWidth="1"/>
    <col min="19" max="24" width="5.6640625" style="9" customWidth="1"/>
    <col min="25" max="16384" width="7.88671875" style="9"/>
  </cols>
  <sheetData>
    <row r="1" spans="1:18" ht="19.95" customHeight="1" x14ac:dyDescent="0.3">
      <c r="A1" s="1" t="s">
        <v>318</v>
      </c>
      <c r="C1" s="36"/>
      <c r="D1" s="36"/>
      <c r="E1" s="36"/>
      <c r="F1" s="36"/>
      <c r="G1" s="36"/>
      <c r="H1" s="37"/>
    </row>
    <row r="2" spans="1:18" s="12" customFormat="1" ht="25.2" customHeight="1" thickBot="1" x14ac:dyDescent="0.25">
      <c r="A2" s="38"/>
      <c r="B2" s="10"/>
      <c r="C2" s="11"/>
      <c r="D2" s="11"/>
      <c r="E2" s="11"/>
      <c r="F2" s="11"/>
      <c r="G2" s="11"/>
    </row>
    <row r="3" spans="1:18" s="12" customFormat="1" ht="13.95" customHeight="1" x14ac:dyDescent="0.2">
      <c r="A3" s="213" t="s">
        <v>61</v>
      </c>
      <c r="B3" s="221"/>
      <c r="C3" s="215" t="s">
        <v>49</v>
      </c>
      <c r="D3" s="216"/>
      <c r="E3" s="216"/>
      <c r="F3" s="217"/>
      <c r="G3" s="215" t="s">
        <v>50</v>
      </c>
      <c r="H3" s="216"/>
      <c r="I3" s="216"/>
      <c r="J3" s="216"/>
      <c r="K3" s="215" t="s">
        <v>51</v>
      </c>
      <c r="L3" s="216"/>
      <c r="M3" s="216"/>
      <c r="N3" s="217"/>
      <c r="O3" s="216" t="s">
        <v>52</v>
      </c>
      <c r="P3" s="216"/>
      <c r="Q3" s="216"/>
      <c r="R3" s="217"/>
    </row>
    <row r="4" spans="1:18" s="12" customFormat="1" ht="24.9" customHeight="1" x14ac:dyDescent="0.2">
      <c r="A4" s="214"/>
      <c r="B4" s="222"/>
      <c r="C4" s="65">
        <v>2019</v>
      </c>
      <c r="D4" s="65">
        <v>2023</v>
      </c>
      <c r="E4" s="65">
        <v>2024</v>
      </c>
      <c r="F4" s="66" t="s">
        <v>352</v>
      </c>
      <c r="G4" s="65">
        <v>2019</v>
      </c>
      <c r="H4" s="65">
        <v>2023</v>
      </c>
      <c r="I4" s="65">
        <v>2024</v>
      </c>
      <c r="J4" s="66" t="s">
        <v>352</v>
      </c>
      <c r="K4" s="65">
        <v>2019</v>
      </c>
      <c r="L4" s="65">
        <v>2023</v>
      </c>
      <c r="M4" s="65">
        <v>2024</v>
      </c>
      <c r="N4" s="66" t="s">
        <v>352</v>
      </c>
      <c r="O4" s="65">
        <v>2019</v>
      </c>
      <c r="P4" s="65">
        <v>2023</v>
      </c>
      <c r="Q4" s="65">
        <v>2024</v>
      </c>
      <c r="R4" s="66" t="s">
        <v>352</v>
      </c>
    </row>
    <row r="5" spans="1:18" s="12" customFormat="1" ht="17.25" customHeight="1" x14ac:dyDescent="0.2">
      <c r="A5" s="219" t="s">
        <v>55</v>
      </c>
      <c r="B5" s="42" t="s">
        <v>17</v>
      </c>
      <c r="C5" s="87">
        <v>495</v>
      </c>
      <c r="D5" s="86">
        <v>532</v>
      </c>
      <c r="E5" s="86">
        <v>602</v>
      </c>
      <c r="F5" s="80">
        <f t="shared" ref="F5:F7" si="0">E5/D5-1</f>
        <v>0.13157894736842102</v>
      </c>
      <c r="G5" s="86">
        <v>11</v>
      </c>
      <c r="H5" s="86">
        <v>11</v>
      </c>
      <c r="I5" s="86">
        <v>11</v>
      </c>
      <c r="J5" s="81">
        <f t="shared" ref="J5:J7" si="1">I5/H5-1</f>
        <v>0</v>
      </c>
      <c r="K5" s="86">
        <v>36</v>
      </c>
      <c r="L5" s="86">
        <v>34</v>
      </c>
      <c r="M5" s="86">
        <v>39</v>
      </c>
      <c r="N5" s="80">
        <f t="shared" ref="N5:N7" si="2">M5/L5-1</f>
        <v>0.14705882352941169</v>
      </c>
      <c r="O5" s="68">
        <v>468</v>
      </c>
      <c r="P5" s="86">
        <v>514</v>
      </c>
      <c r="Q5" s="68">
        <v>583</v>
      </c>
      <c r="R5" s="81">
        <f>Q5/P5-1</f>
        <v>0.13424124513618674</v>
      </c>
    </row>
    <row r="6" spans="1:18" s="12" customFormat="1" ht="17.25" customHeight="1" x14ac:dyDescent="0.2">
      <c r="A6" s="219"/>
      <c r="B6" s="42" t="s">
        <v>18</v>
      </c>
      <c r="C6" s="26">
        <v>71</v>
      </c>
      <c r="D6" s="26">
        <v>116</v>
      </c>
      <c r="E6" s="26">
        <v>128</v>
      </c>
      <c r="F6" s="22">
        <f t="shared" si="0"/>
        <v>0.10344827586206895</v>
      </c>
      <c r="G6" s="26">
        <v>1</v>
      </c>
      <c r="H6" s="26">
        <v>0</v>
      </c>
      <c r="I6" s="26">
        <v>0</v>
      </c>
      <c r="J6" s="34" t="s">
        <v>62</v>
      </c>
      <c r="K6" s="26">
        <v>0</v>
      </c>
      <c r="L6" s="26">
        <v>4</v>
      </c>
      <c r="M6" s="26">
        <v>3</v>
      </c>
      <c r="N6" s="22">
        <f t="shared" si="2"/>
        <v>-0.25</v>
      </c>
      <c r="O6" s="26">
        <v>75</v>
      </c>
      <c r="P6" s="26">
        <v>119</v>
      </c>
      <c r="Q6" s="26">
        <v>140</v>
      </c>
      <c r="R6" s="15">
        <f t="shared" ref="R6" si="3">Q6/P6-1</f>
        <v>0.17647058823529416</v>
      </c>
    </row>
    <row r="7" spans="1:18" s="12" customFormat="1" ht="17.25" customHeight="1" x14ac:dyDescent="0.2">
      <c r="A7" s="219"/>
      <c r="B7" s="42" t="s">
        <v>19</v>
      </c>
      <c r="C7" s="13">
        <v>4999</v>
      </c>
      <c r="D7" s="13">
        <v>4225</v>
      </c>
      <c r="E7" s="13">
        <v>4343</v>
      </c>
      <c r="F7" s="22">
        <f t="shared" si="0"/>
        <v>2.7928994082840219E-2</v>
      </c>
      <c r="G7" s="26">
        <v>122</v>
      </c>
      <c r="H7" s="26">
        <v>95</v>
      </c>
      <c r="I7" s="26">
        <v>96</v>
      </c>
      <c r="J7" s="15">
        <f t="shared" si="1"/>
        <v>1.0526315789473717E-2</v>
      </c>
      <c r="K7" s="26">
        <v>391</v>
      </c>
      <c r="L7" s="26">
        <v>308</v>
      </c>
      <c r="M7" s="26">
        <v>362</v>
      </c>
      <c r="N7" s="22">
        <f t="shared" si="2"/>
        <v>0.17532467532467533</v>
      </c>
      <c r="O7" s="13">
        <v>4970</v>
      </c>
      <c r="P7" s="13">
        <v>4154</v>
      </c>
      <c r="Q7" s="13">
        <v>4307</v>
      </c>
      <c r="R7" s="15">
        <f>Q7/P7-1</f>
        <v>3.6831969186326363E-2</v>
      </c>
    </row>
    <row r="8" spans="1:18" s="12" customFormat="1" ht="17.25" customHeight="1" x14ac:dyDescent="0.2">
      <c r="A8" s="220"/>
      <c r="B8" s="115" t="s">
        <v>0</v>
      </c>
      <c r="C8" s="63">
        <f>SUM(C5:C7)</f>
        <v>5565</v>
      </c>
      <c r="D8" s="62">
        <f t="shared" ref="D8:E8" si="4">SUM(D5:D7)</f>
        <v>4873</v>
      </c>
      <c r="E8" s="62">
        <f t="shared" si="4"/>
        <v>5073</v>
      </c>
      <c r="F8" s="116">
        <f>E8/D8-1</f>
        <v>4.1042478965729545E-2</v>
      </c>
      <c r="G8" s="62">
        <f>SUM(G5:G7)</f>
        <v>134</v>
      </c>
      <c r="H8" s="62">
        <f t="shared" ref="H8:I8" si="5">SUM(H5:H7)</f>
        <v>106</v>
      </c>
      <c r="I8" s="62">
        <f t="shared" si="5"/>
        <v>107</v>
      </c>
      <c r="J8" s="117">
        <f>I8/H8-1</f>
        <v>9.4339622641510523E-3</v>
      </c>
      <c r="K8" s="63">
        <f t="shared" ref="K8" si="6">SUM(K5:K7)</f>
        <v>427</v>
      </c>
      <c r="L8" s="62">
        <f t="shared" ref="L8:M8" si="7">SUM(L5:L7)</f>
        <v>346</v>
      </c>
      <c r="M8" s="62">
        <f t="shared" si="7"/>
        <v>404</v>
      </c>
      <c r="N8" s="116">
        <f>M8/L8-1</f>
        <v>0.16763005780346818</v>
      </c>
      <c r="O8" s="62">
        <f t="shared" ref="O8" si="8">SUM(O5:O7)</f>
        <v>5513</v>
      </c>
      <c r="P8" s="62">
        <f t="shared" ref="P8:Q8" si="9">SUM(P5:P7)</f>
        <v>4787</v>
      </c>
      <c r="Q8" s="62">
        <f t="shared" si="9"/>
        <v>5030</v>
      </c>
      <c r="R8" s="117">
        <f>Q8/P8-1</f>
        <v>5.0762481721328578E-2</v>
      </c>
    </row>
    <row r="9" spans="1:18" s="12" customFormat="1" ht="17.25" customHeight="1" x14ac:dyDescent="0.2">
      <c r="A9" s="219" t="s">
        <v>56</v>
      </c>
      <c r="B9" s="119" t="s">
        <v>20</v>
      </c>
      <c r="C9" s="87">
        <v>723</v>
      </c>
      <c r="D9" s="86">
        <v>665</v>
      </c>
      <c r="E9" s="86">
        <v>698</v>
      </c>
      <c r="F9" s="80">
        <f t="shared" ref="F9:F15" si="10">E9/D9-1</f>
        <v>4.9624060150375904E-2</v>
      </c>
      <c r="G9" s="86">
        <v>6</v>
      </c>
      <c r="H9" s="86">
        <v>5</v>
      </c>
      <c r="I9" s="86">
        <v>1</v>
      </c>
      <c r="J9" s="81">
        <f t="shared" ref="J9:J15" si="11">I9/H9-1</f>
        <v>-0.8</v>
      </c>
      <c r="K9" s="86">
        <v>14</v>
      </c>
      <c r="L9" s="86">
        <v>15</v>
      </c>
      <c r="M9" s="86">
        <v>12</v>
      </c>
      <c r="N9" s="80">
        <f t="shared" ref="N9:N15" si="12">M9/L9-1</f>
        <v>-0.19999999999999996</v>
      </c>
      <c r="O9" s="68">
        <v>1174</v>
      </c>
      <c r="P9" s="86">
        <v>1081</v>
      </c>
      <c r="Q9" s="68">
        <v>1107</v>
      </c>
      <c r="R9" s="81">
        <f>Q9/P9-1</f>
        <v>2.4051803885291489E-2</v>
      </c>
    </row>
    <row r="10" spans="1:18" s="12" customFormat="1" ht="17.25" customHeight="1" x14ac:dyDescent="0.2">
      <c r="A10" s="219"/>
      <c r="B10" s="42" t="s">
        <v>21</v>
      </c>
      <c r="C10" s="26">
        <v>631</v>
      </c>
      <c r="D10" s="26">
        <v>689</v>
      </c>
      <c r="E10" s="26">
        <v>811</v>
      </c>
      <c r="F10" s="22">
        <f t="shared" si="10"/>
        <v>0.17706821480406387</v>
      </c>
      <c r="G10" s="26">
        <v>3</v>
      </c>
      <c r="H10" s="26">
        <v>5</v>
      </c>
      <c r="I10" s="26">
        <v>8</v>
      </c>
      <c r="J10" s="15">
        <f t="shared" si="11"/>
        <v>0.60000000000000009</v>
      </c>
      <c r="K10" s="26">
        <v>30</v>
      </c>
      <c r="L10" s="26">
        <v>28</v>
      </c>
      <c r="M10" s="26">
        <v>34</v>
      </c>
      <c r="N10" s="22">
        <f t="shared" si="12"/>
        <v>0.21428571428571419</v>
      </c>
      <c r="O10" s="26">
        <v>739</v>
      </c>
      <c r="P10" s="26">
        <v>757</v>
      </c>
      <c r="Q10" s="26">
        <v>882</v>
      </c>
      <c r="R10" s="15">
        <f t="shared" ref="R10" si="13">Q10/P10-1</f>
        <v>0.16512549537648602</v>
      </c>
    </row>
    <row r="11" spans="1:18" s="12" customFormat="1" ht="17.25" customHeight="1" x14ac:dyDescent="0.2">
      <c r="A11" s="219"/>
      <c r="B11" s="42" t="s">
        <v>22</v>
      </c>
      <c r="C11" s="13">
        <v>3269</v>
      </c>
      <c r="D11" s="13">
        <v>2384</v>
      </c>
      <c r="E11" s="13">
        <v>2540</v>
      </c>
      <c r="F11" s="22">
        <f t="shared" si="10"/>
        <v>6.5436241610738355E-2</v>
      </c>
      <c r="G11" s="26">
        <v>33</v>
      </c>
      <c r="H11" s="26">
        <v>22</v>
      </c>
      <c r="I11" s="26">
        <v>19</v>
      </c>
      <c r="J11" s="15">
        <f t="shared" si="11"/>
        <v>-0.13636363636363635</v>
      </c>
      <c r="K11" s="26">
        <v>136</v>
      </c>
      <c r="L11" s="26">
        <v>122</v>
      </c>
      <c r="M11" s="26">
        <v>119</v>
      </c>
      <c r="N11" s="22">
        <f t="shared" si="12"/>
        <v>-2.4590163934426257E-2</v>
      </c>
      <c r="O11" s="13">
        <v>4214</v>
      </c>
      <c r="P11" s="13">
        <v>2886</v>
      </c>
      <c r="Q11" s="13">
        <v>3090</v>
      </c>
      <c r="R11" s="15">
        <f>Q11/P11-1</f>
        <v>7.0686070686070579E-2</v>
      </c>
    </row>
    <row r="12" spans="1:18" s="12" customFormat="1" ht="17.25" customHeight="1" x14ac:dyDescent="0.2">
      <c r="A12" s="219"/>
      <c r="B12" s="42" t="s">
        <v>23</v>
      </c>
      <c r="C12" s="13">
        <v>1067</v>
      </c>
      <c r="D12" s="13">
        <v>1412</v>
      </c>
      <c r="E12" s="13">
        <v>1511</v>
      </c>
      <c r="F12" s="22">
        <f t="shared" si="10"/>
        <v>7.0113314447592057E-2</v>
      </c>
      <c r="G12" s="26">
        <v>13</v>
      </c>
      <c r="H12" s="26">
        <v>20</v>
      </c>
      <c r="I12" s="26">
        <v>23</v>
      </c>
      <c r="J12" s="15">
        <f t="shared" si="11"/>
        <v>0.14999999999999991</v>
      </c>
      <c r="K12" s="26">
        <v>57</v>
      </c>
      <c r="L12" s="26">
        <v>95</v>
      </c>
      <c r="M12" s="26">
        <v>99</v>
      </c>
      <c r="N12" s="22">
        <f t="shared" si="12"/>
        <v>4.2105263157894646E-2</v>
      </c>
      <c r="O12" s="13">
        <v>1323</v>
      </c>
      <c r="P12" s="13">
        <v>1743</v>
      </c>
      <c r="Q12" s="13">
        <v>1823</v>
      </c>
      <c r="R12" s="15">
        <f t="shared" ref="R12:R15" si="14">Q12/P12-1</f>
        <v>4.5897877223178396E-2</v>
      </c>
    </row>
    <row r="13" spans="1:18" s="12" customFormat="1" ht="17.25" customHeight="1" x14ac:dyDescent="0.2">
      <c r="A13" s="219"/>
      <c r="B13" s="42" t="s">
        <v>24</v>
      </c>
      <c r="C13" s="13">
        <v>2834</v>
      </c>
      <c r="D13" s="13">
        <v>2779</v>
      </c>
      <c r="E13" s="13">
        <v>2987</v>
      </c>
      <c r="F13" s="22">
        <f t="shared" si="10"/>
        <v>7.4847067290392255E-2</v>
      </c>
      <c r="G13" s="26">
        <v>110</v>
      </c>
      <c r="H13" s="26">
        <v>111</v>
      </c>
      <c r="I13" s="26">
        <v>120</v>
      </c>
      <c r="J13" s="15">
        <f t="shared" si="11"/>
        <v>8.1081081081081141E-2</v>
      </c>
      <c r="K13" s="26">
        <v>326</v>
      </c>
      <c r="L13" s="26">
        <v>368</v>
      </c>
      <c r="M13" s="26">
        <v>414</v>
      </c>
      <c r="N13" s="22">
        <f t="shared" si="12"/>
        <v>0.125</v>
      </c>
      <c r="O13" s="13">
        <v>4271</v>
      </c>
      <c r="P13" s="13">
        <v>4084</v>
      </c>
      <c r="Q13" s="13">
        <v>4455</v>
      </c>
      <c r="R13" s="15">
        <f t="shared" si="14"/>
        <v>9.0842311459353509E-2</v>
      </c>
    </row>
    <row r="14" spans="1:18" s="12" customFormat="1" ht="17.25" customHeight="1" x14ac:dyDescent="0.2">
      <c r="A14" s="219"/>
      <c r="B14" s="42" t="s">
        <v>25</v>
      </c>
      <c r="C14" s="13">
        <v>6714</v>
      </c>
      <c r="D14" s="13">
        <v>7231</v>
      </c>
      <c r="E14" s="13">
        <v>7477</v>
      </c>
      <c r="F14" s="22">
        <f t="shared" si="10"/>
        <v>3.4020190844973097E-2</v>
      </c>
      <c r="G14" s="26">
        <v>63</v>
      </c>
      <c r="H14" s="26">
        <v>64</v>
      </c>
      <c r="I14" s="26">
        <v>69</v>
      </c>
      <c r="J14" s="15">
        <f t="shared" si="11"/>
        <v>7.8125E-2</v>
      </c>
      <c r="K14" s="26">
        <v>298</v>
      </c>
      <c r="L14" s="26">
        <v>400</v>
      </c>
      <c r="M14" s="26">
        <v>393</v>
      </c>
      <c r="N14" s="22">
        <f t="shared" si="12"/>
        <v>-1.749999999999996E-2</v>
      </c>
      <c r="O14" s="13">
        <v>8460</v>
      </c>
      <c r="P14" s="13">
        <v>8683</v>
      </c>
      <c r="Q14" s="13">
        <v>9104</v>
      </c>
      <c r="R14" s="15">
        <f t="shared" si="14"/>
        <v>4.8485546470113938E-2</v>
      </c>
    </row>
    <row r="15" spans="1:18" s="12" customFormat="1" ht="17.25" customHeight="1" x14ac:dyDescent="0.2">
      <c r="A15" s="219"/>
      <c r="B15" s="42" t="s">
        <v>26</v>
      </c>
      <c r="C15" s="13">
        <v>4280</v>
      </c>
      <c r="D15" s="13">
        <v>4078</v>
      </c>
      <c r="E15" s="13">
        <v>4332</v>
      </c>
      <c r="F15" s="22">
        <f t="shared" si="10"/>
        <v>6.2285434036292386E-2</v>
      </c>
      <c r="G15" s="26">
        <v>37</v>
      </c>
      <c r="H15" s="26">
        <v>33</v>
      </c>
      <c r="I15" s="26">
        <v>35</v>
      </c>
      <c r="J15" s="15">
        <f t="shared" si="11"/>
        <v>6.0606060606060552E-2</v>
      </c>
      <c r="K15" s="26">
        <v>151</v>
      </c>
      <c r="L15" s="26">
        <v>124</v>
      </c>
      <c r="M15" s="26">
        <v>143</v>
      </c>
      <c r="N15" s="22">
        <f t="shared" si="12"/>
        <v>0.15322580645161299</v>
      </c>
      <c r="O15" s="13">
        <v>5699</v>
      </c>
      <c r="P15" s="13">
        <v>5331</v>
      </c>
      <c r="Q15" s="13">
        <v>5555</v>
      </c>
      <c r="R15" s="15">
        <f t="shared" si="14"/>
        <v>4.2018383042581098E-2</v>
      </c>
    </row>
    <row r="16" spans="1:18" s="12" customFormat="1" ht="17.25" customHeight="1" x14ac:dyDescent="0.2">
      <c r="A16" s="220"/>
      <c r="B16" s="120" t="s">
        <v>0</v>
      </c>
      <c r="C16" s="121">
        <f>SUM(C9:C15)</f>
        <v>19518</v>
      </c>
      <c r="D16" s="122">
        <f t="shared" ref="D16:E16" si="15">SUM(D9:D15)</f>
        <v>19238</v>
      </c>
      <c r="E16" s="122">
        <f t="shared" si="15"/>
        <v>20356</v>
      </c>
      <c r="F16" s="123">
        <f>E16/D16-1</f>
        <v>5.8114149079945943E-2</v>
      </c>
      <c r="G16" s="122">
        <f t="shared" ref="G16:I16" si="16">SUM(G9:G15)</f>
        <v>265</v>
      </c>
      <c r="H16" s="122">
        <f t="shared" si="16"/>
        <v>260</v>
      </c>
      <c r="I16" s="122">
        <f t="shared" si="16"/>
        <v>275</v>
      </c>
      <c r="J16" s="124">
        <f>I16/H16-1</f>
        <v>5.7692307692307709E-2</v>
      </c>
      <c r="K16" s="121">
        <f t="shared" ref="K16:M16" si="17">SUM(K9:K15)</f>
        <v>1012</v>
      </c>
      <c r="L16" s="122">
        <f t="shared" si="17"/>
        <v>1152</v>
      </c>
      <c r="M16" s="122">
        <f t="shared" si="17"/>
        <v>1214</v>
      </c>
      <c r="N16" s="123">
        <f>M16/L16-1</f>
        <v>5.381944444444442E-2</v>
      </c>
      <c r="O16" s="122">
        <f t="shared" ref="O16:Q16" si="18">SUM(O9:O15)</f>
        <v>25880</v>
      </c>
      <c r="P16" s="122">
        <f t="shared" si="18"/>
        <v>24565</v>
      </c>
      <c r="Q16" s="122">
        <f t="shared" si="18"/>
        <v>26016</v>
      </c>
      <c r="R16" s="124">
        <f>Q16/P16-1</f>
        <v>5.9067779360879369E-2</v>
      </c>
    </row>
    <row r="17" spans="1:18" s="12" customFormat="1" ht="17.25" customHeight="1" x14ac:dyDescent="0.2">
      <c r="A17" s="219" t="s">
        <v>57</v>
      </c>
      <c r="B17" s="42" t="s">
        <v>27</v>
      </c>
      <c r="C17" s="13">
        <v>2060</v>
      </c>
      <c r="D17" s="13">
        <v>2161</v>
      </c>
      <c r="E17" s="13">
        <v>2206</v>
      </c>
      <c r="F17" s="22">
        <f t="shared" ref="F17:F23" si="19">E17/D17-1</f>
        <v>2.0823692734845078E-2</v>
      </c>
      <c r="G17" s="26">
        <v>105</v>
      </c>
      <c r="H17" s="26">
        <v>65</v>
      </c>
      <c r="I17" s="26">
        <v>51</v>
      </c>
      <c r="J17" s="15">
        <f t="shared" ref="J17:J23" si="20">I17/H17-1</f>
        <v>-0.2153846153846154</v>
      </c>
      <c r="K17" s="26">
        <v>225</v>
      </c>
      <c r="L17" s="26">
        <v>205</v>
      </c>
      <c r="M17" s="26">
        <v>221</v>
      </c>
      <c r="N17" s="22">
        <f t="shared" ref="N17:N23" si="21">M17/L17-1</f>
        <v>7.8048780487804947E-2</v>
      </c>
      <c r="O17" s="13">
        <v>2554</v>
      </c>
      <c r="P17" s="13">
        <v>2589</v>
      </c>
      <c r="Q17" s="13">
        <v>2591</v>
      </c>
      <c r="R17" s="15">
        <f t="shared" ref="R17:R23" si="22">Q17/P17-1</f>
        <v>7.7249903437626166E-4</v>
      </c>
    </row>
    <row r="18" spans="1:18" s="12" customFormat="1" ht="17.25" customHeight="1" x14ac:dyDescent="0.2">
      <c r="A18" s="219"/>
      <c r="B18" s="42" t="s">
        <v>28</v>
      </c>
      <c r="C18" s="13">
        <v>1193</v>
      </c>
      <c r="D18" s="13">
        <v>1583</v>
      </c>
      <c r="E18" s="13">
        <v>1632</v>
      </c>
      <c r="F18" s="22">
        <f t="shared" si="19"/>
        <v>3.0953885028426997E-2</v>
      </c>
      <c r="G18" s="26">
        <v>31</v>
      </c>
      <c r="H18" s="26">
        <v>52</v>
      </c>
      <c r="I18" s="26">
        <v>44</v>
      </c>
      <c r="J18" s="15">
        <f t="shared" si="20"/>
        <v>-0.15384615384615385</v>
      </c>
      <c r="K18" s="26">
        <v>106</v>
      </c>
      <c r="L18" s="26">
        <v>152</v>
      </c>
      <c r="M18" s="26">
        <v>162</v>
      </c>
      <c r="N18" s="22">
        <f t="shared" si="21"/>
        <v>6.578947368421062E-2</v>
      </c>
      <c r="O18" s="13">
        <v>1336</v>
      </c>
      <c r="P18" s="13">
        <v>1718</v>
      </c>
      <c r="Q18" s="13">
        <v>1783</v>
      </c>
      <c r="R18" s="15">
        <f t="shared" si="22"/>
        <v>3.7834691501746232E-2</v>
      </c>
    </row>
    <row r="19" spans="1:18" s="12" customFormat="1" ht="17.25" customHeight="1" x14ac:dyDescent="0.2">
      <c r="A19" s="219"/>
      <c r="B19" s="42" t="s">
        <v>29</v>
      </c>
      <c r="C19" s="26">
        <v>570</v>
      </c>
      <c r="D19" s="26">
        <v>468</v>
      </c>
      <c r="E19" s="26">
        <v>457</v>
      </c>
      <c r="F19" s="22">
        <f t="shared" si="19"/>
        <v>-2.3504273504273532E-2</v>
      </c>
      <c r="G19" s="26">
        <v>1</v>
      </c>
      <c r="H19" s="26">
        <v>9</v>
      </c>
      <c r="I19" s="26">
        <v>5</v>
      </c>
      <c r="J19" s="15">
        <f t="shared" si="20"/>
        <v>-0.44444444444444442</v>
      </c>
      <c r="K19" s="26">
        <v>21</v>
      </c>
      <c r="L19" s="26">
        <v>39</v>
      </c>
      <c r="M19" s="26">
        <v>27</v>
      </c>
      <c r="N19" s="22">
        <f t="shared" si="21"/>
        <v>-0.30769230769230771</v>
      </c>
      <c r="O19" s="26">
        <v>630</v>
      </c>
      <c r="P19" s="26">
        <v>519</v>
      </c>
      <c r="Q19" s="26">
        <v>501</v>
      </c>
      <c r="R19" s="15">
        <f t="shared" si="22"/>
        <v>-3.4682080924855474E-2</v>
      </c>
    </row>
    <row r="20" spans="1:18" s="12" customFormat="1" ht="17.25" customHeight="1" x14ac:dyDescent="0.2">
      <c r="A20" s="219"/>
      <c r="B20" s="42" t="s">
        <v>30</v>
      </c>
      <c r="C20" s="26">
        <v>101</v>
      </c>
      <c r="D20" s="26">
        <v>133</v>
      </c>
      <c r="E20" s="26">
        <v>127</v>
      </c>
      <c r="F20" s="22">
        <f t="shared" si="19"/>
        <v>-4.5112781954887216E-2</v>
      </c>
      <c r="G20" s="26">
        <v>0</v>
      </c>
      <c r="H20" s="26">
        <v>5</v>
      </c>
      <c r="I20" s="26">
        <v>1</v>
      </c>
      <c r="J20" s="15">
        <f t="shared" si="20"/>
        <v>-0.8</v>
      </c>
      <c r="K20" s="26">
        <v>19</v>
      </c>
      <c r="L20" s="26">
        <v>7</v>
      </c>
      <c r="M20" s="26">
        <v>9</v>
      </c>
      <c r="N20" s="22">
        <f t="shared" si="21"/>
        <v>0.28571428571428581</v>
      </c>
      <c r="O20" s="26">
        <v>111</v>
      </c>
      <c r="P20" s="26">
        <v>143</v>
      </c>
      <c r="Q20" s="26">
        <v>137</v>
      </c>
      <c r="R20" s="15">
        <f t="shared" si="22"/>
        <v>-4.1958041958041981E-2</v>
      </c>
    </row>
    <row r="21" spans="1:18" s="12" customFormat="1" ht="17.25" customHeight="1" x14ac:dyDescent="0.2">
      <c r="A21" s="219"/>
      <c r="B21" s="42" t="s">
        <v>58</v>
      </c>
      <c r="C21" s="26">
        <v>189</v>
      </c>
      <c r="D21" s="26">
        <v>173</v>
      </c>
      <c r="E21" s="26">
        <v>175</v>
      </c>
      <c r="F21" s="22">
        <f t="shared" si="19"/>
        <v>1.1560693641618602E-2</v>
      </c>
      <c r="G21" s="26">
        <v>13</v>
      </c>
      <c r="H21" s="26">
        <v>9</v>
      </c>
      <c r="I21" s="26">
        <v>8</v>
      </c>
      <c r="J21" s="15">
        <f t="shared" si="20"/>
        <v>-0.11111111111111116</v>
      </c>
      <c r="K21" s="26">
        <v>18</v>
      </c>
      <c r="L21" s="26">
        <v>25</v>
      </c>
      <c r="M21" s="26">
        <v>25</v>
      </c>
      <c r="N21" s="22">
        <f t="shared" si="21"/>
        <v>0</v>
      </c>
      <c r="O21" s="26">
        <v>227</v>
      </c>
      <c r="P21" s="26">
        <v>191</v>
      </c>
      <c r="Q21" s="26">
        <v>206</v>
      </c>
      <c r="R21" s="15">
        <f t="shared" si="22"/>
        <v>7.8534031413612482E-2</v>
      </c>
    </row>
    <row r="22" spans="1:18" s="12" customFormat="1" ht="17.25" customHeight="1" x14ac:dyDescent="0.2">
      <c r="A22" s="219"/>
      <c r="B22" s="42" t="s">
        <v>31</v>
      </c>
      <c r="C22" s="13">
        <v>1892</v>
      </c>
      <c r="D22" s="13">
        <v>1949</v>
      </c>
      <c r="E22" s="13">
        <v>1899</v>
      </c>
      <c r="F22" s="22">
        <f t="shared" si="19"/>
        <v>-2.5654181631605932E-2</v>
      </c>
      <c r="G22" s="26">
        <v>20</v>
      </c>
      <c r="H22" s="26">
        <v>21</v>
      </c>
      <c r="I22" s="26">
        <v>8</v>
      </c>
      <c r="J22" s="15">
        <f t="shared" si="20"/>
        <v>-0.61904761904761907</v>
      </c>
      <c r="K22" s="26">
        <v>100</v>
      </c>
      <c r="L22" s="26">
        <v>98</v>
      </c>
      <c r="M22" s="26">
        <v>97</v>
      </c>
      <c r="N22" s="22">
        <f t="shared" si="21"/>
        <v>-1.0204081632653073E-2</v>
      </c>
      <c r="O22" s="13">
        <v>1975</v>
      </c>
      <c r="P22" s="13">
        <v>2020</v>
      </c>
      <c r="Q22" s="13">
        <v>1967</v>
      </c>
      <c r="R22" s="15">
        <f t="shared" si="22"/>
        <v>-2.6237623762376261E-2</v>
      </c>
    </row>
    <row r="23" spans="1:18" s="12" customFormat="1" ht="17.25" customHeight="1" x14ac:dyDescent="0.2">
      <c r="A23" s="219"/>
      <c r="B23" s="42" t="s">
        <v>32</v>
      </c>
      <c r="C23" s="13">
        <v>6163</v>
      </c>
      <c r="D23" s="13">
        <v>6017</v>
      </c>
      <c r="E23" s="13">
        <v>6112</v>
      </c>
      <c r="F23" s="22">
        <f t="shared" si="19"/>
        <v>1.5788598969586065E-2</v>
      </c>
      <c r="G23" s="26">
        <v>119</v>
      </c>
      <c r="H23" s="26">
        <v>115</v>
      </c>
      <c r="I23" s="26">
        <v>119</v>
      </c>
      <c r="J23" s="15">
        <f t="shared" si="20"/>
        <v>3.4782608695652195E-2</v>
      </c>
      <c r="K23" s="26">
        <v>455</v>
      </c>
      <c r="L23" s="26">
        <v>476</v>
      </c>
      <c r="M23" s="26">
        <v>467</v>
      </c>
      <c r="N23" s="22">
        <f t="shared" si="21"/>
        <v>-1.8907563025210128E-2</v>
      </c>
      <c r="O23" s="13">
        <v>6708</v>
      </c>
      <c r="P23" s="13">
        <v>6341</v>
      </c>
      <c r="Q23" s="13">
        <v>6376</v>
      </c>
      <c r="R23" s="15">
        <f t="shared" si="22"/>
        <v>5.5196341271093186E-3</v>
      </c>
    </row>
    <row r="24" spans="1:18" s="12" customFormat="1" ht="17.25" customHeight="1" x14ac:dyDescent="0.2">
      <c r="A24" s="220"/>
      <c r="B24" s="120" t="s">
        <v>0</v>
      </c>
      <c r="C24" s="121">
        <f>SUM(C17:C23)</f>
        <v>12168</v>
      </c>
      <c r="D24" s="122">
        <f t="shared" ref="D24:E24" si="23">SUM(D17:D23)</f>
        <v>12484</v>
      </c>
      <c r="E24" s="122">
        <f t="shared" si="23"/>
        <v>12608</v>
      </c>
      <c r="F24" s="123">
        <f>E24/D24-1</f>
        <v>9.9327138737583809E-3</v>
      </c>
      <c r="G24" s="122">
        <f t="shared" ref="G24:I24" si="24">SUM(G17:G23)</f>
        <v>289</v>
      </c>
      <c r="H24" s="122">
        <f t="shared" si="24"/>
        <v>276</v>
      </c>
      <c r="I24" s="122">
        <f t="shared" si="24"/>
        <v>236</v>
      </c>
      <c r="J24" s="124">
        <f>I24/H24-1</f>
        <v>-0.14492753623188404</v>
      </c>
      <c r="K24" s="121">
        <f t="shared" ref="K24:M24" si="25">SUM(K17:K23)</f>
        <v>944</v>
      </c>
      <c r="L24" s="122">
        <f t="shared" si="25"/>
        <v>1002</v>
      </c>
      <c r="M24" s="122">
        <f t="shared" si="25"/>
        <v>1008</v>
      </c>
      <c r="N24" s="123">
        <f>M24/L24-1</f>
        <v>5.9880239520957446E-3</v>
      </c>
      <c r="O24" s="122">
        <f t="shared" ref="O24:Q24" si="26">SUM(O17:O23)</f>
        <v>13541</v>
      </c>
      <c r="P24" s="122">
        <f t="shared" si="26"/>
        <v>13521</v>
      </c>
      <c r="Q24" s="122">
        <f t="shared" si="26"/>
        <v>13561</v>
      </c>
      <c r="R24" s="124">
        <f>Q24/P24-1</f>
        <v>2.9583610679684291E-3</v>
      </c>
    </row>
    <row r="25" spans="1:18" s="12" customFormat="1" ht="12" customHeight="1" thickBot="1" x14ac:dyDescent="0.25">
      <c r="A25" s="39" t="s">
        <v>0</v>
      </c>
      <c r="B25" s="118"/>
      <c r="C25" s="23">
        <f>C24+C16+C8</f>
        <v>37251</v>
      </c>
      <c r="D25" s="16">
        <f t="shared" ref="D25:E25" si="27">D24+D16+D8</f>
        <v>36595</v>
      </c>
      <c r="E25" s="16">
        <f t="shared" si="27"/>
        <v>38037</v>
      </c>
      <c r="F25" s="24">
        <f>E25/D25-1</f>
        <v>3.9404290203579828E-2</v>
      </c>
      <c r="G25" s="16">
        <f t="shared" ref="G25:I25" si="28">G24+G16+G8</f>
        <v>688</v>
      </c>
      <c r="H25" s="16">
        <f t="shared" si="28"/>
        <v>642</v>
      </c>
      <c r="I25" s="16">
        <f t="shared" si="28"/>
        <v>618</v>
      </c>
      <c r="J25" s="17">
        <f>I25/H25-1</f>
        <v>-3.7383177570093462E-2</v>
      </c>
      <c r="K25" s="23">
        <f t="shared" ref="K25:M25" si="29">K24+K16+K8</f>
        <v>2383</v>
      </c>
      <c r="L25" s="16">
        <f t="shared" si="29"/>
        <v>2500</v>
      </c>
      <c r="M25" s="16">
        <f t="shared" si="29"/>
        <v>2626</v>
      </c>
      <c r="N25" s="24">
        <f>M25/L25-1</f>
        <v>5.04E-2</v>
      </c>
      <c r="O25" s="16">
        <f t="shared" ref="O25:Q25" si="30">O24+O16+O8</f>
        <v>44934</v>
      </c>
      <c r="P25" s="16">
        <f t="shared" si="30"/>
        <v>42873</v>
      </c>
      <c r="Q25" s="16">
        <f t="shared" si="30"/>
        <v>44607</v>
      </c>
      <c r="R25" s="17">
        <f>Q25/P25-1</f>
        <v>4.0445035336925228E-2</v>
      </c>
    </row>
    <row r="26" spans="1:18" s="12" customFormat="1" ht="12" customHeight="1" x14ac:dyDescent="0.2"/>
    <row r="27" spans="1:18" s="12" customFormat="1" ht="12" customHeight="1" x14ac:dyDescent="0.2"/>
    <row r="28" spans="1:18" s="12" customFormat="1" ht="12" customHeight="1" x14ac:dyDescent="0.2"/>
    <row r="29" spans="1:18" s="12" customFormat="1" ht="12" customHeight="1" x14ac:dyDescent="0.2"/>
    <row r="30" spans="1:18" ht="12" customHeight="1" x14ac:dyDescent="0.25"/>
    <row r="31" spans="1:18" ht="12" customHeight="1" x14ac:dyDescent="0.25"/>
    <row r="32" spans="1:18" ht="12" customHeight="1" x14ac:dyDescent="0.25"/>
    <row r="33" ht="12" customHeight="1" x14ac:dyDescent="0.25"/>
  </sheetData>
  <mergeCells count="8">
    <mergeCell ref="O3:R3"/>
    <mergeCell ref="A5:A8"/>
    <mergeCell ref="A9:A16"/>
    <mergeCell ref="A17:A24"/>
    <mergeCell ref="A3:B4"/>
    <mergeCell ref="C3:F3"/>
    <mergeCell ref="G3:J3"/>
    <mergeCell ref="K3:N3"/>
  </mergeCells>
  <pageMargins left="0.78740157480314965" right="0.78740157480314965" top="0.78740157480314965" bottom="0.78740157480314965" header="0" footer="0"/>
  <pageSetup paperSize="9" scale="57" fitToHeight="2" orientation="portrait" horizontalDpi="300" verticalDpi="300" r:id="rId1"/>
  <headerFooter scaleWithDoc="0" alignWithMargins="0"/>
  <ignoredErrors>
    <ignoredError sqref="C8:E8 C16:E16 C24:E25" formulaRange="1"/>
    <ignoredError sqref="F8:R8 F16:R16 F9:F15 J9:J15 N9:N15 R9:R15 F24:R25 F17:F23 J17:J19 N17:N23 R17:R23 J21:J23" formula="1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E5DE-97F9-4BDA-A042-2BF87D0C3D60}">
  <sheetPr codeName="Planilha10"/>
  <dimension ref="A1:Q33"/>
  <sheetViews>
    <sheetView showGridLines="0" showRuler="0" zoomScale="120" zoomScaleNormal="120" zoomScaleSheetLayoutView="100" workbookViewId="0">
      <selection activeCell="I1" sqref="I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319</v>
      </c>
      <c r="B1" s="29"/>
      <c r="C1" s="29"/>
      <c r="D1" s="29"/>
      <c r="E1" s="29"/>
      <c r="F1" s="29"/>
      <c r="G1" s="33"/>
    </row>
    <row r="2" spans="1:17" s="12" customFormat="1" ht="25.2" customHeight="1" thickBot="1" x14ac:dyDescent="0.25">
      <c r="A2" s="10"/>
      <c r="B2" s="11"/>
      <c r="C2" s="11"/>
      <c r="D2" s="11"/>
      <c r="E2" s="11"/>
      <c r="F2" s="11"/>
    </row>
    <row r="3" spans="1:17" s="12" customFormat="1" ht="13.95" customHeight="1" x14ac:dyDescent="0.2">
      <c r="A3" s="213" t="s">
        <v>74</v>
      </c>
      <c r="B3" s="215" t="s">
        <v>49</v>
      </c>
      <c r="C3" s="216"/>
      <c r="D3" s="216"/>
      <c r="E3" s="217"/>
      <c r="F3" s="216" t="s">
        <v>50</v>
      </c>
      <c r="G3" s="216"/>
      <c r="H3" s="216"/>
      <c r="I3" s="216"/>
      <c r="J3" s="215" t="s">
        <v>51</v>
      </c>
      <c r="K3" s="216"/>
      <c r="L3" s="216"/>
      <c r="M3" s="217"/>
      <c r="N3" s="216" t="s">
        <v>52</v>
      </c>
      <c r="O3" s="216"/>
      <c r="P3" s="216"/>
      <c r="Q3" s="217"/>
    </row>
    <row r="4" spans="1:17" s="12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4">
        <v>2019</v>
      </c>
      <c r="G4" s="65">
        <v>2023</v>
      </c>
      <c r="H4" s="65">
        <v>2024</v>
      </c>
      <c r="I4" s="66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5">
        <v>2019</v>
      </c>
      <c r="O4" s="65">
        <v>2023</v>
      </c>
      <c r="P4" s="65">
        <v>2024</v>
      </c>
      <c r="Q4" s="66" t="s">
        <v>352</v>
      </c>
    </row>
    <row r="5" spans="1:17" s="12" customFormat="1" ht="12" customHeight="1" x14ac:dyDescent="0.2">
      <c r="A5" s="25" t="s">
        <v>206</v>
      </c>
      <c r="B5" s="68">
        <v>29438</v>
      </c>
      <c r="C5" s="68">
        <v>28983</v>
      </c>
      <c r="D5" s="68">
        <v>30075</v>
      </c>
      <c r="E5" s="80">
        <f t="shared" ref="E5:E6" si="0">D5/C5-1</f>
        <v>3.7677259082910641E-2</v>
      </c>
      <c r="F5" s="86">
        <v>394</v>
      </c>
      <c r="G5" s="86">
        <v>350</v>
      </c>
      <c r="H5" s="86">
        <v>355</v>
      </c>
      <c r="I5" s="81">
        <f t="shared" ref="I5:I6" si="1">H5/G5-1</f>
        <v>1.4285714285714235E-2</v>
      </c>
      <c r="J5" s="68">
        <v>1559</v>
      </c>
      <c r="K5" s="68">
        <v>1682</v>
      </c>
      <c r="L5" s="68">
        <v>1782</v>
      </c>
      <c r="M5" s="80">
        <f t="shared" ref="M5:M6" si="2">L5/K5-1</f>
        <v>5.9453032104637371E-2</v>
      </c>
      <c r="N5" s="68">
        <v>34669</v>
      </c>
      <c r="O5" s="68">
        <v>33107</v>
      </c>
      <c r="P5" s="68">
        <v>34481</v>
      </c>
      <c r="Q5" s="80">
        <f t="shared" ref="Q5:Q6" si="3">P5/O5-1</f>
        <v>4.1501797203008506E-2</v>
      </c>
    </row>
    <row r="6" spans="1:17" s="12" customFormat="1" ht="12" customHeight="1" x14ac:dyDescent="0.2">
      <c r="A6" s="25" t="s">
        <v>207</v>
      </c>
      <c r="B6" s="13">
        <v>7813</v>
      </c>
      <c r="C6" s="13">
        <v>7612</v>
      </c>
      <c r="D6" s="13">
        <v>7962</v>
      </c>
      <c r="E6" s="22">
        <f t="shared" si="0"/>
        <v>4.5980031529164522E-2</v>
      </c>
      <c r="F6" s="26">
        <v>294</v>
      </c>
      <c r="G6" s="26">
        <v>292</v>
      </c>
      <c r="H6" s="26">
        <v>263</v>
      </c>
      <c r="I6" s="15">
        <f t="shared" si="1"/>
        <v>-9.9315068493150638E-2</v>
      </c>
      <c r="J6" s="26">
        <v>824</v>
      </c>
      <c r="K6" s="26">
        <v>818</v>
      </c>
      <c r="L6" s="26">
        <v>844</v>
      </c>
      <c r="M6" s="22">
        <f t="shared" si="2"/>
        <v>3.1784841075794601E-2</v>
      </c>
      <c r="N6" s="13">
        <v>10265</v>
      </c>
      <c r="O6" s="13">
        <v>9766</v>
      </c>
      <c r="P6" s="13">
        <v>10126</v>
      </c>
      <c r="Q6" s="22">
        <f t="shared" si="3"/>
        <v>3.6862584476756055E-2</v>
      </c>
    </row>
    <row r="7" spans="1:17" s="12" customFormat="1" ht="12" customHeight="1" thickBot="1" x14ac:dyDescent="0.25">
      <c r="A7" s="27" t="s">
        <v>0</v>
      </c>
      <c r="B7" s="23">
        <f>SUM(B5:B6)</f>
        <v>37251</v>
      </c>
      <c r="C7" s="16">
        <f>SUM(C5:C6)</f>
        <v>36595</v>
      </c>
      <c r="D7" s="16">
        <f>SUM(D5:D6)</f>
        <v>38037</v>
      </c>
      <c r="E7" s="24">
        <f>D7/C7-1</f>
        <v>3.9404290203579828E-2</v>
      </c>
      <c r="F7" s="16">
        <f>SUM(F5:F6)</f>
        <v>688</v>
      </c>
      <c r="G7" s="16">
        <f>SUM(G5:G6)</f>
        <v>642</v>
      </c>
      <c r="H7" s="16">
        <f>SUM(H5:H6)</f>
        <v>618</v>
      </c>
      <c r="I7" s="17">
        <f>H7/G7-1</f>
        <v>-3.7383177570093462E-2</v>
      </c>
      <c r="J7" s="23">
        <f>SUM(J5:J6)</f>
        <v>2383</v>
      </c>
      <c r="K7" s="16">
        <f>SUM(K5:K6)</f>
        <v>2500</v>
      </c>
      <c r="L7" s="16">
        <f>SUM(L5:L6)</f>
        <v>2626</v>
      </c>
      <c r="M7" s="24">
        <f>L7/K7-1</f>
        <v>5.04E-2</v>
      </c>
      <c r="N7" s="16">
        <f>SUM(N5:N6)</f>
        <v>44934</v>
      </c>
      <c r="O7" s="16">
        <f>SUM(O5:O6)</f>
        <v>42873</v>
      </c>
      <c r="P7" s="16">
        <f>SUM(P5:P6)</f>
        <v>44607</v>
      </c>
      <c r="Q7" s="17">
        <f>P7/O7-1</f>
        <v>4.0445035336925228E-2</v>
      </c>
    </row>
    <row r="8" spans="1:17" s="12" customFormat="1" ht="12" customHeight="1" x14ac:dyDescent="0.2"/>
    <row r="9" spans="1:17" s="12" customFormat="1" ht="12" customHeight="1" x14ac:dyDescent="0.2"/>
    <row r="10" spans="1:17" s="12" customFormat="1" ht="12" customHeight="1" x14ac:dyDescent="0.2"/>
    <row r="11" spans="1:17" s="12" customFormat="1" ht="12" customHeight="1" x14ac:dyDescent="0.2"/>
    <row r="12" spans="1:17" s="12" customFormat="1" ht="12" customHeight="1" x14ac:dyDescent="0.2"/>
    <row r="13" spans="1:17" s="12" customFormat="1" ht="12" customHeight="1" x14ac:dyDescent="0.2"/>
    <row r="14" spans="1:17" s="12" customFormat="1" ht="12" customHeight="1" x14ac:dyDescent="0.2"/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ht="12" customHeight="1" x14ac:dyDescent="0.25"/>
    <row r="31" ht="12" customHeight="1" x14ac:dyDescent="0.25"/>
    <row r="32" ht="12" customHeight="1" x14ac:dyDescent="0.25"/>
    <row r="33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92" fitToHeight="2" orientation="portrait" horizontalDpi="300" verticalDpi="300" r:id="rId1"/>
  <headerFooter scaleWithDoc="0" alignWithMargins="0"/>
  <ignoredErrors>
    <ignoredError sqref="B7:D7 F7:H7 J7:L7 N7:Q7" formulaRange="1"/>
    <ignoredError sqref="E7 I7 M7" formula="1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655-5B1E-406B-ACDE-CA449AC74475}">
  <sheetPr codeName="Planilha11">
    <tabColor theme="0" tint="-4.9989318521683403E-2"/>
  </sheetPr>
  <dimension ref="A1:Q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320</v>
      </c>
      <c r="B1" s="29"/>
      <c r="C1" s="29"/>
      <c r="D1" s="29"/>
      <c r="E1" s="29"/>
      <c r="F1" s="29"/>
    </row>
    <row r="2" spans="1:17" s="12" customFormat="1" ht="25.2" customHeight="1" thickBot="1" x14ac:dyDescent="0.25"/>
    <row r="3" spans="1:17" s="12" customFormat="1" ht="13.95" customHeight="1" x14ac:dyDescent="0.2">
      <c r="A3" s="213" t="s">
        <v>144</v>
      </c>
      <c r="B3" s="215" t="s">
        <v>49</v>
      </c>
      <c r="C3" s="216"/>
      <c r="D3" s="216"/>
      <c r="E3" s="217"/>
      <c r="F3" s="216" t="s">
        <v>50</v>
      </c>
      <c r="G3" s="216"/>
      <c r="H3" s="216"/>
      <c r="I3" s="216"/>
      <c r="J3" s="215" t="s">
        <v>51</v>
      </c>
      <c r="K3" s="216"/>
      <c r="L3" s="216"/>
      <c r="M3" s="217"/>
      <c r="N3" s="216" t="s">
        <v>52</v>
      </c>
      <c r="O3" s="216"/>
      <c r="P3" s="216"/>
      <c r="Q3" s="217"/>
    </row>
    <row r="4" spans="1:17" s="12" customFormat="1" ht="24.9" customHeight="1" x14ac:dyDescent="0.2">
      <c r="A4" s="214"/>
      <c r="B4" s="207">
        <v>2019</v>
      </c>
      <c r="C4" s="208">
        <v>2023</v>
      </c>
      <c r="D4" s="208">
        <v>2024</v>
      </c>
      <c r="E4" s="208" t="s">
        <v>352</v>
      </c>
      <c r="F4" s="208">
        <v>2019</v>
      </c>
      <c r="G4" s="208">
        <v>2023</v>
      </c>
      <c r="H4" s="208">
        <v>2024</v>
      </c>
      <c r="I4" s="208" t="s">
        <v>352</v>
      </c>
      <c r="J4" s="208">
        <v>2019</v>
      </c>
      <c r="K4" s="208">
        <v>2023</v>
      </c>
      <c r="L4" s="208">
        <v>2024</v>
      </c>
      <c r="M4" s="208" t="s">
        <v>352</v>
      </c>
      <c r="N4" s="208">
        <v>2019</v>
      </c>
      <c r="O4" s="208">
        <v>2023</v>
      </c>
      <c r="P4" s="208">
        <v>2024</v>
      </c>
      <c r="Q4" s="208" t="s">
        <v>352</v>
      </c>
    </row>
    <row r="5" spans="1:17" s="12" customFormat="1" ht="12" customHeight="1" x14ac:dyDescent="0.2">
      <c r="A5" s="25" t="s">
        <v>280</v>
      </c>
      <c r="B5" s="68">
        <v>2146</v>
      </c>
      <c r="C5" s="13">
        <v>2010</v>
      </c>
      <c r="D5" s="13">
        <v>2172</v>
      </c>
      <c r="E5" s="22">
        <f t="shared" ref="E5:E12" si="0">D5/C5-1</f>
        <v>8.0597014925373189E-2</v>
      </c>
      <c r="F5" s="26">
        <v>67</v>
      </c>
      <c r="G5" s="26">
        <v>49</v>
      </c>
      <c r="H5" s="26">
        <v>46</v>
      </c>
      <c r="I5" s="15">
        <f t="shared" ref="I5:I12" si="1">H5/G5-1</f>
        <v>-6.1224489795918324E-2</v>
      </c>
      <c r="J5" s="26">
        <v>168</v>
      </c>
      <c r="K5" s="26">
        <v>150</v>
      </c>
      <c r="L5" s="26">
        <v>150</v>
      </c>
      <c r="M5" s="22">
        <f t="shared" ref="M5:M12" si="2">L5/K5-1</f>
        <v>0</v>
      </c>
      <c r="N5" s="26">
        <v>3084</v>
      </c>
      <c r="O5" s="13">
        <v>2836</v>
      </c>
      <c r="P5" s="13">
        <v>3024</v>
      </c>
      <c r="Q5" s="15">
        <f t="shared" ref="Q5:Q12" si="3">P5/O5-1</f>
        <v>6.6290550070521759E-2</v>
      </c>
    </row>
    <row r="6" spans="1:17" s="12" customFormat="1" ht="12" customHeight="1" x14ac:dyDescent="0.2">
      <c r="A6" s="25" t="s">
        <v>281</v>
      </c>
      <c r="B6" s="13">
        <v>24298</v>
      </c>
      <c r="C6" s="13">
        <v>22986</v>
      </c>
      <c r="D6" s="13">
        <v>23819</v>
      </c>
      <c r="E6" s="22">
        <f t="shared" si="0"/>
        <v>3.623945010006091E-2</v>
      </c>
      <c r="F6" s="26">
        <v>295</v>
      </c>
      <c r="G6" s="26">
        <v>221</v>
      </c>
      <c r="H6" s="26">
        <v>211</v>
      </c>
      <c r="I6" s="15">
        <f t="shared" si="1"/>
        <v>-4.5248868778280493E-2</v>
      </c>
      <c r="J6" s="13">
        <v>1204</v>
      </c>
      <c r="K6" s="13">
        <v>1158</v>
      </c>
      <c r="L6" s="13">
        <v>1241</v>
      </c>
      <c r="M6" s="22">
        <f t="shared" si="2"/>
        <v>7.1675302245250538E-2</v>
      </c>
      <c r="N6" s="13">
        <v>28157</v>
      </c>
      <c r="O6" s="13">
        <v>25828</v>
      </c>
      <c r="P6" s="13">
        <v>26924</v>
      </c>
      <c r="Q6" s="15">
        <f t="shared" si="3"/>
        <v>4.2434567136441004E-2</v>
      </c>
    </row>
    <row r="7" spans="1:17" s="12" customFormat="1" ht="12" customHeight="1" x14ac:dyDescent="0.2">
      <c r="A7" s="25" t="s">
        <v>282</v>
      </c>
      <c r="B7" s="13">
        <v>1335</v>
      </c>
      <c r="C7" s="13">
        <v>1264</v>
      </c>
      <c r="D7" s="13">
        <v>1234</v>
      </c>
      <c r="E7" s="22">
        <f t="shared" si="0"/>
        <v>-2.3734177215189889E-2</v>
      </c>
      <c r="F7" s="26">
        <v>40</v>
      </c>
      <c r="G7" s="26">
        <v>31</v>
      </c>
      <c r="H7" s="26">
        <v>32</v>
      </c>
      <c r="I7" s="15">
        <f t="shared" si="1"/>
        <v>3.2258064516129004E-2</v>
      </c>
      <c r="J7" s="26">
        <v>157</v>
      </c>
      <c r="K7" s="26">
        <v>135</v>
      </c>
      <c r="L7" s="26">
        <v>144</v>
      </c>
      <c r="M7" s="22">
        <f t="shared" si="2"/>
        <v>6.6666666666666652E-2</v>
      </c>
      <c r="N7" s="13">
        <v>1609</v>
      </c>
      <c r="O7" s="13">
        <v>1481</v>
      </c>
      <c r="P7" s="13">
        <v>1376</v>
      </c>
      <c r="Q7" s="15">
        <f t="shared" si="3"/>
        <v>-7.089804186360571E-2</v>
      </c>
    </row>
    <row r="8" spans="1:17" s="12" customFormat="1" ht="12" customHeight="1" x14ac:dyDescent="0.2">
      <c r="A8" s="25" t="s">
        <v>283</v>
      </c>
      <c r="B8" s="13">
        <v>6372</v>
      </c>
      <c r="C8" s="13">
        <v>6965</v>
      </c>
      <c r="D8" s="13">
        <v>7229</v>
      </c>
      <c r="E8" s="22">
        <f t="shared" si="0"/>
        <v>3.790380473797561E-2</v>
      </c>
      <c r="F8" s="26">
        <v>180</v>
      </c>
      <c r="G8" s="26">
        <v>199</v>
      </c>
      <c r="H8" s="26">
        <v>217</v>
      </c>
      <c r="I8" s="15">
        <f t="shared" si="1"/>
        <v>9.0452261306532611E-2</v>
      </c>
      <c r="J8" s="26">
        <v>549</v>
      </c>
      <c r="K8" s="26">
        <v>716</v>
      </c>
      <c r="L8" s="26">
        <v>734</v>
      </c>
      <c r="M8" s="22">
        <f t="shared" si="2"/>
        <v>2.5139664804469275E-2</v>
      </c>
      <c r="N8" s="13">
        <v>8241</v>
      </c>
      <c r="O8" s="13">
        <v>8668</v>
      </c>
      <c r="P8" s="13">
        <v>8985</v>
      </c>
      <c r="Q8" s="15">
        <f t="shared" si="3"/>
        <v>3.6571296723580948E-2</v>
      </c>
    </row>
    <row r="9" spans="1:17" s="12" customFormat="1" ht="12" customHeight="1" x14ac:dyDescent="0.2">
      <c r="A9" s="25" t="s">
        <v>284</v>
      </c>
      <c r="B9" s="26">
        <v>361</v>
      </c>
      <c r="C9" s="26">
        <v>509</v>
      </c>
      <c r="D9" s="26">
        <v>515</v>
      </c>
      <c r="E9" s="22">
        <f t="shared" si="0"/>
        <v>1.1787819253438192E-2</v>
      </c>
      <c r="F9" s="26">
        <v>10</v>
      </c>
      <c r="G9" s="26">
        <v>22</v>
      </c>
      <c r="H9" s="26">
        <v>12</v>
      </c>
      <c r="I9" s="15">
        <f t="shared" si="1"/>
        <v>-0.45454545454545459</v>
      </c>
      <c r="J9" s="26">
        <v>32</v>
      </c>
      <c r="K9" s="26">
        <v>72</v>
      </c>
      <c r="L9" s="26">
        <v>70</v>
      </c>
      <c r="M9" s="22">
        <f t="shared" si="2"/>
        <v>-2.777777777777779E-2</v>
      </c>
      <c r="N9" s="26">
        <v>468</v>
      </c>
      <c r="O9" s="26">
        <v>613</v>
      </c>
      <c r="P9" s="26">
        <v>639</v>
      </c>
      <c r="Q9" s="15">
        <f t="shared" si="3"/>
        <v>4.2414355628058731E-2</v>
      </c>
    </row>
    <row r="10" spans="1:17" s="12" customFormat="1" ht="12" customHeight="1" x14ac:dyDescent="0.2">
      <c r="A10" s="25" t="s">
        <v>285</v>
      </c>
      <c r="B10" s="26">
        <v>966</v>
      </c>
      <c r="C10" s="26">
        <v>829</v>
      </c>
      <c r="D10" s="26">
        <v>948</v>
      </c>
      <c r="E10" s="22">
        <f t="shared" si="0"/>
        <v>0.14354644149577811</v>
      </c>
      <c r="F10" s="26">
        <v>31</v>
      </c>
      <c r="G10" s="26">
        <v>41</v>
      </c>
      <c r="H10" s="26">
        <v>34</v>
      </c>
      <c r="I10" s="15">
        <f t="shared" si="1"/>
        <v>-0.17073170731707321</v>
      </c>
      <c r="J10" s="26">
        <v>82</v>
      </c>
      <c r="K10" s="26">
        <v>67</v>
      </c>
      <c r="L10" s="26">
        <v>76</v>
      </c>
      <c r="M10" s="22">
        <f t="shared" si="2"/>
        <v>0.13432835820895517</v>
      </c>
      <c r="N10" s="13">
        <v>1265</v>
      </c>
      <c r="O10" s="13">
        <v>1101</v>
      </c>
      <c r="P10" s="13">
        <v>1206</v>
      </c>
      <c r="Q10" s="15">
        <f t="shared" si="3"/>
        <v>9.5367847411444107E-2</v>
      </c>
    </row>
    <row r="11" spans="1:17" s="12" customFormat="1" ht="12" customHeight="1" x14ac:dyDescent="0.2">
      <c r="A11" s="25" t="s">
        <v>286</v>
      </c>
      <c r="B11" s="26">
        <v>263</v>
      </c>
      <c r="C11" s="26">
        <v>218</v>
      </c>
      <c r="D11" s="26">
        <v>242</v>
      </c>
      <c r="E11" s="22">
        <f t="shared" si="0"/>
        <v>0.11009174311926606</v>
      </c>
      <c r="F11" s="26">
        <v>19</v>
      </c>
      <c r="G11" s="26">
        <v>17</v>
      </c>
      <c r="H11" s="26">
        <v>11</v>
      </c>
      <c r="I11" s="15">
        <f t="shared" si="1"/>
        <v>-0.3529411764705882</v>
      </c>
      <c r="J11" s="26">
        <v>26</v>
      </c>
      <c r="K11" s="26">
        <v>26</v>
      </c>
      <c r="L11" s="26">
        <v>24</v>
      </c>
      <c r="M11" s="22">
        <f t="shared" si="2"/>
        <v>-7.6923076923076872E-2</v>
      </c>
      <c r="N11" s="26">
        <v>349</v>
      </c>
      <c r="O11" s="26">
        <v>269</v>
      </c>
      <c r="P11" s="26">
        <v>326</v>
      </c>
      <c r="Q11" s="15">
        <f t="shared" si="3"/>
        <v>0.21189591078066905</v>
      </c>
    </row>
    <row r="12" spans="1:17" s="12" customFormat="1" ht="12" customHeight="1" x14ac:dyDescent="0.2">
      <c r="A12" s="25" t="s">
        <v>291</v>
      </c>
      <c r="B12" s="13">
        <v>1510</v>
      </c>
      <c r="C12" s="13">
        <v>1814</v>
      </c>
      <c r="D12" s="13">
        <v>1878</v>
      </c>
      <c r="E12" s="22">
        <f t="shared" si="0"/>
        <v>3.5281146637265781E-2</v>
      </c>
      <c r="F12" s="26">
        <v>46</v>
      </c>
      <c r="G12" s="26">
        <v>62</v>
      </c>
      <c r="H12" s="26">
        <v>55</v>
      </c>
      <c r="I12" s="15">
        <f t="shared" si="1"/>
        <v>-0.11290322580645162</v>
      </c>
      <c r="J12" s="26">
        <v>165</v>
      </c>
      <c r="K12" s="26">
        <v>176</v>
      </c>
      <c r="L12" s="26">
        <v>187</v>
      </c>
      <c r="M12" s="22">
        <f t="shared" si="2"/>
        <v>6.25E-2</v>
      </c>
      <c r="N12" s="13">
        <v>1761</v>
      </c>
      <c r="O12" s="13">
        <v>2077</v>
      </c>
      <c r="P12" s="13">
        <v>2127</v>
      </c>
      <c r="Q12" s="15">
        <f t="shared" si="3"/>
        <v>2.407318247472312E-2</v>
      </c>
    </row>
    <row r="13" spans="1:17" s="12" customFormat="1" ht="12" customHeight="1" thickBot="1" x14ac:dyDescent="0.25">
      <c r="A13" s="27" t="s">
        <v>0</v>
      </c>
      <c r="B13" s="23">
        <f>SUM(B5:B12)</f>
        <v>37251</v>
      </c>
      <c r="C13" s="16">
        <f t="shared" ref="C13:D13" si="4">SUM(C5:C12)</f>
        <v>36595</v>
      </c>
      <c r="D13" s="16">
        <f t="shared" si="4"/>
        <v>38037</v>
      </c>
      <c r="E13" s="24">
        <f>D13/C13-1</f>
        <v>3.9404290203579828E-2</v>
      </c>
      <c r="F13" s="16">
        <f>SUM(F5:F12)</f>
        <v>688</v>
      </c>
      <c r="G13" s="16">
        <f t="shared" ref="G13:H13" si="5">SUM(G5:G12)</f>
        <v>642</v>
      </c>
      <c r="H13" s="16">
        <f t="shared" si="5"/>
        <v>618</v>
      </c>
      <c r="I13" s="17">
        <f>H13/G13-1</f>
        <v>-3.7383177570093462E-2</v>
      </c>
      <c r="J13" s="23">
        <f t="shared" ref="J13:L13" si="6">SUM(J5:J12)</f>
        <v>2383</v>
      </c>
      <c r="K13" s="16">
        <f t="shared" si="6"/>
        <v>2500</v>
      </c>
      <c r="L13" s="16">
        <f t="shared" si="6"/>
        <v>2626</v>
      </c>
      <c r="M13" s="24">
        <f>L13/K13-1</f>
        <v>5.04E-2</v>
      </c>
      <c r="N13" s="16">
        <f t="shared" ref="N13:P13" si="7">SUM(N5:N12)</f>
        <v>44934</v>
      </c>
      <c r="O13" s="16">
        <f t="shared" si="7"/>
        <v>42873</v>
      </c>
      <c r="P13" s="16">
        <f t="shared" si="7"/>
        <v>44607</v>
      </c>
      <c r="Q13" s="17">
        <f>P13/O13-1</f>
        <v>4.0445035336925228E-2</v>
      </c>
    </row>
    <row r="14" spans="1:17" s="12" customFormat="1" ht="12" customHeight="1" x14ac:dyDescent="0.2">
      <c r="A14" s="40" t="s">
        <v>208</v>
      </c>
    </row>
    <row r="15" spans="1:17" s="12" customFormat="1" ht="12" customHeight="1" x14ac:dyDescent="0.2"/>
    <row r="16" spans="1:17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ht="12" customHeight="1" x14ac:dyDescent="0.25"/>
    <row r="31" ht="12" customHeight="1" x14ac:dyDescent="0.25"/>
    <row r="32" ht="12" customHeight="1" x14ac:dyDescent="0.25"/>
    <row r="33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83" fitToHeight="2" orientation="portrait" horizontalDpi="300" verticalDpi="300" r:id="rId1"/>
  <headerFooter scaleWithDoc="0" alignWithMargins="0"/>
  <ignoredErrors>
    <ignoredError sqref="B13:D13 N13:Q13" formulaRange="1"/>
    <ignoredError sqref="E13:M13" formula="1" formulaRange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73C6-EA27-40C7-AD27-9E676C16A0C0}">
  <sheetPr codeName="Planilha12"/>
  <dimension ref="A1:Q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5.6640625" style="9" customWidth="1"/>
    <col min="2" max="17" width="7.6640625" style="9" customWidth="1"/>
    <col min="18" max="24" width="5.6640625" style="9" customWidth="1"/>
    <col min="25" max="16384" width="7.88671875" style="9"/>
  </cols>
  <sheetData>
    <row r="1" spans="1:17" ht="19.95" customHeight="1" x14ac:dyDescent="0.3">
      <c r="A1" s="1" t="s">
        <v>347</v>
      </c>
      <c r="B1" s="29"/>
      <c r="C1" s="29"/>
      <c r="D1" s="29"/>
      <c r="E1" s="29"/>
      <c r="F1" s="29"/>
    </row>
    <row r="2" spans="1:17" s="12" customFormat="1" ht="25.2" customHeight="1" thickBot="1" x14ac:dyDescent="0.25"/>
    <row r="3" spans="1:17" s="12" customFormat="1" ht="13.95" customHeight="1" x14ac:dyDescent="0.2">
      <c r="A3" s="213" t="s">
        <v>348</v>
      </c>
      <c r="B3" s="215" t="s">
        <v>49</v>
      </c>
      <c r="C3" s="216"/>
      <c r="D3" s="216"/>
      <c r="E3" s="217"/>
      <c r="F3" s="215" t="s">
        <v>50</v>
      </c>
      <c r="G3" s="216"/>
      <c r="H3" s="216"/>
      <c r="I3" s="217"/>
      <c r="J3" s="215" t="s">
        <v>51</v>
      </c>
      <c r="K3" s="216"/>
      <c r="L3" s="216"/>
      <c r="M3" s="217"/>
      <c r="N3" s="215" t="s">
        <v>52</v>
      </c>
      <c r="O3" s="216"/>
      <c r="P3" s="216"/>
      <c r="Q3" s="217"/>
    </row>
    <row r="4" spans="1:17" s="12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4">
        <v>2019</v>
      </c>
      <c r="G4" s="65">
        <v>2023</v>
      </c>
      <c r="H4" s="65">
        <v>2024</v>
      </c>
      <c r="I4" s="66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4">
        <v>2019</v>
      </c>
      <c r="O4" s="65">
        <v>2023</v>
      </c>
      <c r="P4" s="65">
        <v>2024</v>
      </c>
      <c r="Q4" s="66" t="s">
        <v>352</v>
      </c>
    </row>
    <row r="5" spans="1:17" s="12" customFormat="1" ht="12" customHeight="1" x14ac:dyDescent="0.2">
      <c r="A5" s="25" t="s">
        <v>4</v>
      </c>
      <c r="B5" s="68">
        <v>2815</v>
      </c>
      <c r="C5" s="68">
        <v>2868</v>
      </c>
      <c r="D5" s="68">
        <v>2898</v>
      </c>
      <c r="E5" s="69">
        <f t="shared" ref="E5:E24" si="0">D5/C5-1</f>
        <v>1.0460251046025215E-2</v>
      </c>
      <c r="F5" s="86">
        <v>42</v>
      </c>
      <c r="G5" s="86">
        <v>44</v>
      </c>
      <c r="H5" s="86">
        <v>39</v>
      </c>
      <c r="I5" s="70">
        <f t="shared" ref="I5:I24" si="1">H5/G5-1</f>
        <v>-0.11363636363636365</v>
      </c>
      <c r="J5" s="86">
        <v>135</v>
      </c>
      <c r="K5" s="86">
        <v>189</v>
      </c>
      <c r="L5" s="86">
        <v>190</v>
      </c>
      <c r="M5" s="69">
        <f t="shared" ref="M5:M24" si="2">L5/K5-1</f>
        <v>5.2910052910053462E-3</v>
      </c>
      <c r="N5" s="68">
        <v>3362</v>
      </c>
      <c r="O5" s="68">
        <v>3339</v>
      </c>
      <c r="P5" s="68">
        <v>3385</v>
      </c>
      <c r="Q5" s="70">
        <f t="shared" ref="Q5:Q24" si="3">P5/O5-1</f>
        <v>1.3776579814315681E-2</v>
      </c>
    </row>
    <row r="6" spans="1:17" s="12" customFormat="1" ht="12" customHeight="1" x14ac:dyDescent="0.2">
      <c r="A6" s="25" t="s">
        <v>5</v>
      </c>
      <c r="B6" s="26">
        <v>468</v>
      </c>
      <c r="C6" s="26">
        <v>486</v>
      </c>
      <c r="D6" s="26">
        <v>520</v>
      </c>
      <c r="E6" s="31">
        <f t="shared" si="0"/>
        <v>6.9958847736625529E-2</v>
      </c>
      <c r="F6" s="26">
        <v>37</v>
      </c>
      <c r="G6" s="26">
        <v>28</v>
      </c>
      <c r="H6" s="26">
        <v>28</v>
      </c>
      <c r="I6" s="14">
        <f t="shared" si="1"/>
        <v>0</v>
      </c>
      <c r="J6" s="26">
        <v>68</v>
      </c>
      <c r="K6" s="26">
        <v>83</v>
      </c>
      <c r="L6" s="26">
        <v>106</v>
      </c>
      <c r="M6" s="31">
        <f t="shared" si="2"/>
        <v>0.27710843373493965</v>
      </c>
      <c r="N6" s="26">
        <v>566</v>
      </c>
      <c r="O6" s="26">
        <v>570</v>
      </c>
      <c r="P6" s="26">
        <v>578</v>
      </c>
      <c r="Q6" s="14">
        <f t="shared" si="3"/>
        <v>1.4035087719298289E-2</v>
      </c>
    </row>
    <row r="7" spans="1:17" s="12" customFormat="1" ht="12" customHeight="1" x14ac:dyDescent="0.2">
      <c r="A7" s="25" t="s">
        <v>6</v>
      </c>
      <c r="B7" s="13">
        <v>3180</v>
      </c>
      <c r="C7" s="13">
        <v>3291</v>
      </c>
      <c r="D7" s="13">
        <v>3312</v>
      </c>
      <c r="E7" s="31">
        <f t="shared" si="0"/>
        <v>6.3810391978122993E-3</v>
      </c>
      <c r="F7" s="26">
        <v>45</v>
      </c>
      <c r="G7" s="26">
        <v>50</v>
      </c>
      <c r="H7" s="26">
        <v>44</v>
      </c>
      <c r="I7" s="14">
        <f t="shared" si="1"/>
        <v>-0.12</v>
      </c>
      <c r="J7" s="26">
        <v>153</v>
      </c>
      <c r="K7" s="26">
        <v>181</v>
      </c>
      <c r="L7" s="26">
        <v>220</v>
      </c>
      <c r="M7" s="31">
        <f t="shared" si="2"/>
        <v>0.21546961325966851</v>
      </c>
      <c r="N7" s="13">
        <v>3988</v>
      </c>
      <c r="O7" s="13">
        <v>3951</v>
      </c>
      <c r="P7" s="13">
        <v>4028</v>
      </c>
      <c r="Q7" s="14">
        <f t="shared" si="3"/>
        <v>1.9488737028600323E-2</v>
      </c>
    </row>
    <row r="8" spans="1:17" s="12" customFormat="1" ht="12" customHeight="1" x14ac:dyDescent="0.2">
      <c r="A8" s="25" t="s">
        <v>7</v>
      </c>
      <c r="B8" s="26">
        <v>412</v>
      </c>
      <c r="C8" s="26">
        <v>394</v>
      </c>
      <c r="D8" s="26">
        <v>393</v>
      </c>
      <c r="E8" s="31">
        <f t="shared" si="0"/>
        <v>-2.5380710659897998E-3</v>
      </c>
      <c r="F8" s="26">
        <v>8</v>
      </c>
      <c r="G8" s="26">
        <v>7</v>
      </c>
      <c r="H8" s="26">
        <v>10</v>
      </c>
      <c r="I8" s="14">
        <f t="shared" si="1"/>
        <v>0.4285714285714286</v>
      </c>
      <c r="J8" s="26">
        <v>48</v>
      </c>
      <c r="K8" s="26">
        <v>47</v>
      </c>
      <c r="L8" s="26">
        <v>48</v>
      </c>
      <c r="M8" s="31">
        <f t="shared" si="2"/>
        <v>2.1276595744680771E-2</v>
      </c>
      <c r="N8" s="26">
        <v>488</v>
      </c>
      <c r="O8" s="26">
        <v>472</v>
      </c>
      <c r="P8" s="26">
        <v>469</v>
      </c>
      <c r="Q8" s="14">
        <f t="shared" si="3"/>
        <v>-6.3559322033898136E-3</v>
      </c>
    </row>
    <row r="9" spans="1:17" s="12" customFormat="1" ht="12" customHeight="1" x14ac:dyDescent="0.2">
      <c r="A9" s="25" t="s">
        <v>75</v>
      </c>
      <c r="B9" s="26">
        <v>527</v>
      </c>
      <c r="C9" s="26">
        <v>565</v>
      </c>
      <c r="D9" s="26">
        <v>547</v>
      </c>
      <c r="E9" s="31">
        <f t="shared" si="0"/>
        <v>-3.1858407079646045E-2</v>
      </c>
      <c r="F9" s="26">
        <v>14</v>
      </c>
      <c r="G9" s="26">
        <v>24</v>
      </c>
      <c r="H9" s="26">
        <v>14</v>
      </c>
      <c r="I9" s="14">
        <f t="shared" si="1"/>
        <v>-0.41666666666666663</v>
      </c>
      <c r="J9" s="26">
        <v>66</v>
      </c>
      <c r="K9" s="26">
        <v>72</v>
      </c>
      <c r="L9" s="26">
        <v>64</v>
      </c>
      <c r="M9" s="31">
        <f t="shared" si="2"/>
        <v>-0.11111111111111116</v>
      </c>
      <c r="N9" s="26">
        <v>628</v>
      </c>
      <c r="O9" s="26">
        <v>660</v>
      </c>
      <c r="P9" s="26">
        <v>616</v>
      </c>
      <c r="Q9" s="14">
        <f t="shared" si="3"/>
        <v>-6.6666666666666652E-2</v>
      </c>
    </row>
    <row r="10" spans="1:17" s="12" customFormat="1" ht="12" customHeight="1" x14ac:dyDescent="0.2">
      <c r="A10" s="25" t="s">
        <v>8</v>
      </c>
      <c r="B10" s="13">
        <v>1624</v>
      </c>
      <c r="C10" s="13">
        <v>1602</v>
      </c>
      <c r="D10" s="13">
        <v>1635</v>
      </c>
      <c r="E10" s="31">
        <f t="shared" si="0"/>
        <v>2.0599250936329527E-2</v>
      </c>
      <c r="F10" s="26">
        <v>40</v>
      </c>
      <c r="G10" s="26">
        <v>36</v>
      </c>
      <c r="H10" s="26">
        <v>32</v>
      </c>
      <c r="I10" s="14">
        <f t="shared" si="1"/>
        <v>-0.11111111111111116</v>
      </c>
      <c r="J10" s="26">
        <v>79</v>
      </c>
      <c r="K10" s="26">
        <v>83</v>
      </c>
      <c r="L10" s="26">
        <v>103</v>
      </c>
      <c r="M10" s="31">
        <f t="shared" si="2"/>
        <v>0.24096385542168686</v>
      </c>
      <c r="N10" s="13">
        <v>1952</v>
      </c>
      <c r="O10" s="13">
        <v>1856</v>
      </c>
      <c r="P10" s="13">
        <v>1897</v>
      </c>
      <c r="Q10" s="14">
        <f t="shared" si="3"/>
        <v>2.2090517241379226E-2</v>
      </c>
    </row>
    <row r="11" spans="1:17" s="12" customFormat="1" ht="12" customHeight="1" x14ac:dyDescent="0.2">
      <c r="A11" s="25" t="s">
        <v>9</v>
      </c>
      <c r="B11" s="26">
        <v>444</v>
      </c>
      <c r="C11" s="26">
        <v>458</v>
      </c>
      <c r="D11" s="26">
        <v>515</v>
      </c>
      <c r="E11" s="31">
        <f t="shared" si="0"/>
        <v>0.12445414847161573</v>
      </c>
      <c r="F11" s="26">
        <v>17</v>
      </c>
      <c r="G11" s="26">
        <v>12</v>
      </c>
      <c r="H11" s="26">
        <v>16</v>
      </c>
      <c r="I11" s="14">
        <f t="shared" si="1"/>
        <v>0.33333333333333326</v>
      </c>
      <c r="J11" s="26">
        <v>71</v>
      </c>
      <c r="K11" s="26">
        <v>76</v>
      </c>
      <c r="L11" s="26">
        <v>68</v>
      </c>
      <c r="M11" s="31">
        <f t="shared" si="2"/>
        <v>-0.10526315789473684</v>
      </c>
      <c r="N11" s="26">
        <v>545</v>
      </c>
      <c r="O11" s="26">
        <v>532</v>
      </c>
      <c r="P11" s="26">
        <v>591</v>
      </c>
      <c r="Q11" s="14">
        <f t="shared" si="3"/>
        <v>0.11090225563909772</v>
      </c>
    </row>
    <row r="12" spans="1:17" s="12" customFormat="1" ht="12" customHeight="1" x14ac:dyDescent="0.2">
      <c r="A12" s="25" t="s">
        <v>3</v>
      </c>
      <c r="B12" s="13">
        <v>2154</v>
      </c>
      <c r="C12" s="13">
        <v>2149</v>
      </c>
      <c r="D12" s="13">
        <v>2363</v>
      </c>
      <c r="E12" s="31">
        <f t="shared" si="0"/>
        <v>9.9581200558399363E-2</v>
      </c>
      <c r="F12" s="26">
        <v>44</v>
      </c>
      <c r="G12" s="26">
        <v>43</v>
      </c>
      <c r="H12" s="26">
        <v>43</v>
      </c>
      <c r="I12" s="14">
        <f t="shared" si="1"/>
        <v>0</v>
      </c>
      <c r="J12" s="26">
        <v>214</v>
      </c>
      <c r="K12" s="26">
        <v>184</v>
      </c>
      <c r="L12" s="26">
        <v>199</v>
      </c>
      <c r="M12" s="31">
        <f t="shared" si="2"/>
        <v>8.1521739130434812E-2</v>
      </c>
      <c r="N12" s="13">
        <v>2449</v>
      </c>
      <c r="O12" s="13">
        <v>2401</v>
      </c>
      <c r="P12" s="13">
        <v>2606</v>
      </c>
      <c r="Q12" s="14">
        <f t="shared" si="3"/>
        <v>8.5381091211994997E-2</v>
      </c>
    </row>
    <row r="13" spans="1:17" s="12" customFormat="1" ht="12" customHeight="1" x14ac:dyDescent="0.2">
      <c r="A13" s="25" t="s">
        <v>10</v>
      </c>
      <c r="B13" s="26">
        <v>433</v>
      </c>
      <c r="C13" s="26">
        <v>440</v>
      </c>
      <c r="D13" s="26">
        <v>480</v>
      </c>
      <c r="E13" s="31">
        <f t="shared" si="0"/>
        <v>9.0909090909090828E-2</v>
      </c>
      <c r="F13" s="26">
        <v>19</v>
      </c>
      <c r="G13" s="26">
        <v>15</v>
      </c>
      <c r="H13" s="26">
        <v>19</v>
      </c>
      <c r="I13" s="14">
        <f t="shared" si="1"/>
        <v>0.26666666666666661</v>
      </c>
      <c r="J13" s="26">
        <v>58</v>
      </c>
      <c r="K13" s="26">
        <v>50</v>
      </c>
      <c r="L13" s="26">
        <v>48</v>
      </c>
      <c r="M13" s="31">
        <f t="shared" si="2"/>
        <v>-4.0000000000000036E-2</v>
      </c>
      <c r="N13" s="26">
        <v>509</v>
      </c>
      <c r="O13" s="26">
        <v>527</v>
      </c>
      <c r="P13" s="26">
        <v>558</v>
      </c>
      <c r="Q13" s="14">
        <f t="shared" si="3"/>
        <v>5.8823529411764719E-2</v>
      </c>
    </row>
    <row r="14" spans="1:17" s="12" customFormat="1" ht="12" customHeight="1" x14ac:dyDescent="0.2">
      <c r="A14" s="25" t="s">
        <v>11</v>
      </c>
      <c r="B14" s="13">
        <v>1822</v>
      </c>
      <c r="C14" s="13">
        <v>1802</v>
      </c>
      <c r="D14" s="13">
        <v>1857</v>
      </c>
      <c r="E14" s="31">
        <f t="shared" si="0"/>
        <v>3.0521642619311784E-2</v>
      </c>
      <c r="F14" s="26">
        <v>45</v>
      </c>
      <c r="G14" s="26">
        <v>38</v>
      </c>
      <c r="H14" s="26">
        <v>45</v>
      </c>
      <c r="I14" s="14">
        <f t="shared" si="1"/>
        <v>0.18421052631578938</v>
      </c>
      <c r="J14" s="26">
        <v>123</v>
      </c>
      <c r="K14" s="26">
        <v>151</v>
      </c>
      <c r="L14" s="26">
        <v>177</v>
      </c>
      <c r="M14" s="31">
        <f t="shared" si="2"/>
        <v>0.17218543046357615</v>
      </c>
      <c r="N14" s="13">
        <v>2132</v>
      </c>
      <c r="O14" s="13">
        <v>2117</v>
      </c>
      <c r="P14" s="13">
        <v>2120</v>
      </c>
      <c r="Q14" s="14">
        <f t="shared" si="3"/>
        <v>1.4170996693434468E-3</v>
      </c>
    </row>
    <row r="15" spans="1:17" s="12" customFormat="1" ht="12" customHeight="1" x14ac:dyDescent="0.2">
      <c r="A15" s="25" t="s">
        <v>1</v>
      </c>
      <c r="B15" s="13">
        <v>8232</v>
      </c>
      <c r="C15" s="13">
        <v>7248</v>
      </c>
      <c r="D15" s="13">
        <v>7694</v>
      </c>
      <c r="E15" s="31">
        <f t="shared" si="0"/>
        <v>6.1534216335540792E-2</v>
      </c>
      <c r="F15" s="26">
        <v>76</v>
      </c>
      <c r="G15" s="26">
        <v>60</v>
      </c>
      <c r="H15" s="26">
        <v>76</v>
      </c>
      <c r="I15" s="14">
        <f t="shared" si="1"/>
        <v>0.26666666666666661</v>
      </c>
      <c r="J15" s="26">
        <v>337</v>
      </c>
      <c r="K15" s="26">
        <v>298</v>
      </c>
      <c r="L15" s="26">
        <v>313</v>
      </c>
      <c r="M15" s="31">
        <f t="shared" si="2"/>
        <v>5.0335570469798752E-2</v>
      </c>
      <c r="N15" s="13">
        <v>9820</v>
      </c>
      <c r="O15" s="13">
        <v>8460</v>
      </c>
      <c r="P15" s="13">
        <v>9035</v>
      </c>
      <c r="Q15" s="14">
        <f t="shared" si="3"/>
        <v>6.7966903073286122E-2</v>
      </c>
    </row>
    <row r="16" spans="1:17" s="12" customFormat="1" ht="12" customHeight="1" x14ac:dyDescent="0.2">
      <c r="A16" s="25" t="s">
        <v>12</v>
      </c>
      <c r="B16" s="26">
        <v>303</v>
      </c>
      <c r="C16" s="26">
        <v>331</v>
      </c>
      <c r="D16" s="26">
        <v>326</v>
      </c>
      <c r="E16" s="31">
        <f t="shared" si="0"/>
        <v>-1.5105740181268867E-2</v>
      </c>
      <c r="F16" s="26">
        <v>17</v>
      </c>
      <c r="G16" s="26">
        <v>19</v>
      </c>
      <c r="H16" s="26">
        <v>11</v>
      </c>
      <c r="I16" s="14">
        <f t="shared" si="1"/>
        <v>-0.42105263157894735</v>
      </c>
      <c r="J16" s="26">
        <v>52</v>
      </c>
      <c r="K16" s="26">
        <v>41</v>
      </c>
      <c r="L16" s="26">
        <v>62</v>
      </c>
      <c r="M16" s="31">
        <f t="shared" si="2"/>
        <v>0.51219512195121952</v>
      </c>
      <c r="N16" s="26">
        <v>365</v>
      </c>
      <c r="O16" s="26">
        <v>389</v>
      </c>
      <c r="P16" s="26">
        <v>364</v>
      </c>
      <c r="Q16" s="14">
        <f t="shared" si="3"/>
        <v>-6.4267352185089943E-2</v>
      </c>
    </row>
    <row r="17" spans="1:17" s="12" customFormat="1" ht="12" customHeight="1" x14ac:dyDescent="0.2">
      <c r="A17" s="25" t="s">
        <v>2</v>
      </c>
      <c r="B17" s="13">
        <v>6245</v>
      </c>
      <c r="C17" s="13">
        <v>6107</v>
      </c>
      <c r="D17" s="13">
        <v>6384</v>
      </c>
      <c r="E17" s="31">
        <f t="shared" si="0"/>
        <v>4.5357786147044443E-2</v>
      </c>
      <c r="F17" s="26">
        <v>79</v>
      </c>
      <c r="G17" s="26">
        <v>61</v>
      </c>
      <c r="H17" s="26">
        <v>76</v>
      </c>
      <c r="I17" s="14">
        <f t="shared" si="1"/>
        <v>0.24590163934426235</v>
      </c>
      <c r="J17" s="26">
        <v>205</v>
      </c>
      <c r="K17" s="26">
        <v>216</v>
      </c>
      <c r="L17" s="26">
        <v>218</v>
      </c>
      <c r="M17" s="31">
        <f t="shared" si="2"/>
        <v>9.2592592592593004E-3</v>
      </c>
      <c r="N17" s="13">
        <v>7738</v>
      </c>
      <c r="O17" s="13">
        <v>7261</v>
      </c>
      <c r="P17" s="13">
        <v>7609</v>
      </c>
      <c r="Q17" s="14">
        <f t="shared" si="3"/>
        <v>4.7927282743423838E-2</v>
      </c>
    </row>
    <row r="18" spans="1:17" s="12" customFormat="1" ht="12" customHeight="1" x14ac:dyDescent="0.2">
      <c r="A18" s="25" t="s">
        <v>13</v>
      </c>
      <c r="B18" s="13">
        <v>1612</v>
      </c>
      <c r="C18" s="13">
        <v>1592</v>
      </c>
      <c r="D18" s="13">
        <v>1656</v>
      </c>
      <c r="E18" s="31">
        <f t="shared" si="0"/>
        <v>4.020100502512558E-2</v>
      </c>
      <c r="F18" s="26">
        <v>41</v>
      </c>
      <c r="G18" s="26">
        <v>45</v>
      </c>
      <c r="H18" s="26">
        <v>39</v>
      </c>
      <c r="I18" s="14">
        <f t="shared" si="1"/>
        <v>-0.1333333333333333</v>
      </c>
      <c r="J18" s="26">
        <v>211</v>
      </c>
      <c r="K18" s="26">
        <v>216</v>
      </c>
      <c r="L18" s="26">
        <v>205</v>
      </c>
      <c r="M18" s="31">
        <f t="shared" si="2"/>
        <v>-5.092592592592593E-2</v>
      </c>
      <c r="N18" s="13">
        <v>1953</v>
      </c>
      <c r="O18" s="13">
        <v>1789</v>
      </c>
      <c r="P18" s="13">
        <v>1926</v>
      </c>
      <c r="Q18" s="14">
        <f t="shared" si="3"/>
        <v>7.6579094466182163E-2</v>
      </c>
    </row>
    <row r="19" spans="1:17" s="12" customFormat="1" ht="12" customHeight="1" x14ac:dyDescent="0.2">
      <c r="A19" s="25" t="s">
        <v>14</v>
      </c>
      <c r="B19" s="13">
        <v>2605</v>
      </c>
      <c r="C19" s="13">
        <v>2775</v>
      </c>
      <c r="D19" s="13">
        <v>2724</v>
      </c>
      <c r="E19" s="31">
        <f t="shared" si="0"/>
        <v>-1.8378378378378413E-2</v>
      </c>
      <c r="F19" s="26">
        <v>32</v>
      </c>
      <c r="G19" s="26">
        <v>59</v>
      </c>
      <c r="H19" s="26">
        <v>40</v>
      </c>
      <c r="I19" s="14">
        <f t="shared" si="1"/>
        <v>-0.32203389830508478</v>
      </c>
      <c r="J19" s="26">
        <v>159</v>
      </c>
      <c r="K19" s="26">
        <v>192</v>
      </c>
      <c r="L19" s="26">
        <v>197</v>
      </c>
      <c r="M19" s="31">
        <f t="shared" si="2"/>
        <v>2.6041666666666741E-2</v>
      </c>
      <c r="N19" s="13">
        <v>3183</v>
      </c>
      <c r="O19" s="13">
        <v>3332</v>
      </c>
      <c r="P19" s="13">
        <v>3272</v>
      </c>
      <c r="Q19" s="14">
        <f t="shared" si="3"/>
        <v>-1.8007202881152429E-2</v>
      </c>
    </row>
    <row r="20" spans="1:17" s="12" customFormat="1" ht="12" customHeight="1" x14ac:dyDescent="0.2">
      <c r="A20" s="25" t="s">
        <v>76</v>
      </c>
      <c r="B20" s="26">
        <v>859</v>
      </c>
      <c r="C20" s="26">
        <v>843</v>
      </c>
      <c r="D20" s="26">
        <v>945</v>
      </c>
      <c r="E20" s="31">
        <f t="shared" si="0"/>
        <v>0.12099644128113884</v>
      </c>
      <c r="F20" s="26">
        <v>18</v>
      </c>
      <c r="G20" s="26">
        <v>22</v>
      </c>
      <c r="H20" s="26">
        <v>16</v>
      </c>
      <c r="I20" s="14">
        <f t="shared" si="1"/>
        <v>-0.27272727272727271</v>
      </c>
      <c r="J20" s="26">
        <v>53</v>
      </c>
      <c r="K20" s="26">
        <v>70</v>
      </c>
      <c r="L20" s="26">
        <v>70</v>
      </c>
      <c r="M20" s="31">
        <f t="shared" si="2"/>
        <v>0</v>
      </c>
      <c r="N20" s="13">
        <v>1038</v>
      </c>
      <c r="O20" s="13">
        <v>1002</v>
      </c>
      <c r="P20" s="13">
        <v>1143</v>
      </c>
      <c r="Q20" s="14">
        <f t="shared" si="3"/>
        <v>0.14071856287425155</v>
      </c>
    </row>
    <row r="21" spans="1:17" s="12" customFormat="1" ht="12" customHeight="1" x14ac:dyDescent="0.2">
      <c r="A21" s="25" t="s">
        <v>15</v>
      </c>
      <c r="B21" s="26">
        <v>654</v>
      </c>
      <c r="C21" s="26">
        <v>665</v>
      </c>
      <c r="D21" s="26">
        <v>668</v>
      </c>
      <c r="E21" s="31">
        <f t="shared" si="0"/>
        <v>4.5112781954887993E-3</v>
      </c>
      <c r="F21" s="26">
        <v>14</v>
      </c>
      <c r="G21" s="26">
        <v>24</v>
      </c>
      <c r="H21" s="26">
        <v>14</v>
      </c>
      <c r="I21" s="14">
        <f t="shared" si="1"/>
        <v>-0.41666666666666663</v>
      </c>
      <c r="J21" s="26">
        <v>46</v>
      </c>
      <c r="K21" s="26">
        <v>60</v>
      </c>
      <c r="L21" s="26">
        <v>56</v>
      </c>
      <c r="M21" s="31">
        <f t="shared" si="2"/>
        <v>-6.6666666666666652E-2</v>
      </c>
      <c r="N21" s="26">
        <v>863</v>
      </c>
      <c r="O21" s="26">
        <v>777</v>
      </c>
      <c r="P21" s="26">
        <v>795</v>
      </c>
      <c r="Q21" s="14">
        <f t="shared" si="3"/>
        <v>2.316602316602312E-2</v>
      </c>
    </row>
    <row r="22" spans="1:17" s="12" customFormat="1" ht="12" customHeight="1" x14ac:dyDescent="0.2">
      <c r="A22" s="25" t="s">
        <v>16</v>
      </c>
      <c r="B22" s="13">
        <v>1315</v>
      </c>
      <c r="C22" s="13">
        <v>1358</v>
      </c>
      <c r="D22" s="13">
        <v>1421</v>
      </c>
      <c r="E22" s="31">
        <f t="shared" si="0"/>
        <v>4.6391752577319645E-2</v>
      </c>
      <c r="F22" s="26">
        <v>38</v>
      </c>
      <c r="G22" s="26">
        <v>26</v>
      </c>
      <c r="H22" s="26">
        <v>33</v>
      </c>
      <c r="I22" s="14">
        <f t="shared" si="1"/>
        <v>0.26923076923076916</v>
      </c>
      <c r="J22" s="26">
        <v>90</v>
      </c>
      <c r="K22" s="26">
        <v>99</v>
      </c>
      <c r="L22" s="26">
        <v>111</v>
      </c>
      <c r="M22" s="31">
        <f t="shared" si="2"/>
        <v>0.1212121212121211</v>
      </c>
      <c r="N22" s="13">
        <v>1604</v>
      </c>
      <c r="O22" s="13">
        <v>1606</v>
      </c>
      <c r="P22" s="13">
        <v>1680</v>
      </c>
      <c r="Q22" s="14">
        <f t="shared" si="3"/>
        <v>4.6077210460772067E-2</v>
      </c>
    </row>
    <row r="23" spans="1:17" s="12" customFormat="1" ht="12" customHeight="1" x14ac:dyDescent="0.2">
      <c r="A23" s="25" t="s">
        <v>344</v>
      </c>
      <c r="B23" s="26">
        <v>611</v>
      </c>
      <c r="C23" s="26">
        <v>620</v>
      </c>
      <c r="D23" s="26">
        <v>681</v>
      </c>
      <c r="E23" s="31">
        <f t="shared" si="0"/>
        <v>9.838709677419355E-2</v>
      </c>
      <c r="F23" s="26">
        <v>21</v>
      </c>
      <c r="G23" s="26">
        <v>18</v>
      </c>
      <c r="H23" s="26">
        <v>12</v>
      </c>
      <c r="I23" s="14">
        <f t="shared" si="1"/>
        <v>-0.33333333333333337</v>
      </c>
      <c r="J23" s="26">
        <v>106</v>
      </c>
      <c r="K23" s="26">
        <v>95</v>
      </c>
      <c r="L23" s="26">
        <v>98</v>
      </c>
      <c r="M23" s="31">
        <f t="shared" si="2"/>
        <v>3.1578947368421151E-2</v>
      </c>
      <c r="N23" s="26">
        <v>686</v>
      </c>
      <c r="O23" s="26">
        <v>708</v>
      </c>
      <c r="P23" s="26">
        <v>776</v>
      </c>
      <c r="Q23" s="14">
        <f t="shared" si="3"/>
        <v>9.6045197740112886E-2</v>
      </c>
    </row>
    <row r="24" spans="1:17" s="12" customFormat="1" ht="12" customHeight="1" x14ac:dyDescent="0.2">
      <c r="A24" s="25" t="s">
        <v>345</v>
      </c>
      <c r="B24" s="26">
        <v>936</v>
      </c>
      <c r="C24" s="26">
        <v>1001</v>
      </c>
      <c r="D24" s="13">
        <v>1018</v>
      </c>
      <c r="E24" s="31">
        <f t="shared" si="0"/>
        <v>1.6983016983016963E-2</v>
      </c>
      <c r="F24" s="26">
        <v>41</v>
      </c>
      <c r="G24" s="26">
        <v>11</v>
      </c>
      <c r="H24" s="26">
        <v>11</v>
      </c>
      <c r="I24" s="14">
        <f t="shared" si="1"/>
        <v>0</v>
      </c>
      <c r="J24" s="26">
        <v>109</v>
      </c>
      <c r="K24" s="26">
        <v>97</v>
      </c>
      <c r="L24" s="26">
        <v>73</v>
      </c>
      <c r="M24" s="31">
        <f t="shared" si="2"/>
        <v>-0.24742268041237114</v>
      </c>
      <c r="N24" s="13">
        <v>1065</v>
      </c>
      <c r="O24" s="26">
        <v>1124</v>
      </c>
      <c r="P24" s="13">
        <v>1159</v>
      </c>
      <c r="Q24" s="14">
        <f t="shared" si="3"/>
        <v>3.1138790035587283E-2</v>
      </c>
    </row>
    <row r="25" spans="1:17" s="12" customFormat="1" ht="12" customHeight="1" thickBot="1" x14ac:dyDescent="0.25">
      <c r="A25" s="27" t="s">
        <v>0</v>
      </c>
      <c r="B25" s="23">
        <f t="shared" ref="B25" si="4">SUM(B5:B24)</f>
        <v>37251</v>
      </c>
      <c r="C25" s="16">
        <f t="shared" ref="C25:D25" si="5">SUM(C5:C24)</f>
        <v>36595</v>
      </c>
      <c r="D25" s="16">
        <f t="shared" si="5"/>
        <v>38037</v>
      </c>
      <c r="E25" s="32">
        <f>D25/C25-1</f>
        <v>3.9404290203579828E-2</v>
      </c>
      <c r="F25" s="16">
        <f>SUM(F5:F24)</f>
        <v>688</v>
      </c>
      <c r="G25" s="16">
        <f t="shared" ref="G25:H25" si="6">SUM(G5:G24)</f>
        <v>642</v>
      </c>
      <c r="H25" s="16">
        <f t="shared" si="6"/>
        <v>618</v>
      </c>
      <c r="I25" s="30">
        <f>H25/G25-1</f>
        <v>-3.7383177570093462E-2</v>
      </c>
      <c r="J25" s="23">
        <f t="shared" ref="J25:L25" si="7">SUM(J5:J24)</f>
        <v>2383</v>
      </c>
      <c r="K25" s="16">
        <f t="shared" si="7"/>
        <v>2500</v>
      </c>
      <c r="L25" s="16">
        <f t="shared" si="7"/>
        <v>2626</v>
      </c>
      <c r="M25" s="32">
        <f>L25/K25-1</f>
        <v>5.04E-2</v>
      </c>
      <c r="N25" s="16">
        <f t="shared" ref="N25:P25" si="8">SUM(N5:N24)</f>
        <v>44934</v>
      </c>
      <c r="O25" s="16">
        <f t="shared" si="8"/>
        <v>42873</v>
      </c>
      <c r="P25" s="16">
        <f t="shared" si="8"/>
        <v>44607</v>
      </c>
      <c r="Q25" s="30">
        <f>P25/O25-1</f>
        <v>4.0445035336925228E-2</v>
      </c>
    </row>
    <row r="26" spans="1:17" s="12" customFormat="1" ht="12" customHeight="1" x14ac:dyDescent="0.2"/>
    <row r="27" spans="1:17" s="12" customFormat="1" ht="12" customHeight="1" x14ac:dyDescent="0.2"/>
    <row r="28" spans="1:17" s="12" customFormat="1" ht="12" customHeight="1" x14ac:dyDescent="0.2"/>
    <row r="29" spans="1:17" s="12" customFormat="1" ht="12" customHeight="1" x14ac:dyDescent="0.2"/>
    <row r="30" spans="1:17" ht="12" customHeight="1" x14ac:dyDescent="0.25"/>
    <row r="31" spans="1:17" ht="12" customHeight="1" x14ac:dyDescent="0.25"/>
    <row r="32" spans="1:17" ht="12" customHeight="1" x14ac:dyDescent="0.25"/>
    <row r="33" ht="12" customHeight="1" x14ac:dyDescent="0.25"/>
  </sheetData>
  <mergeCells count="5"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88" fitToHeight="2" orientation="portrait" horizontalDpi="300" verticalDpi="300" r:id="rId1"/>
  <headerFooter scaleWithDoc="0" alignWithMargins="0"/>
  <ignoredErrors>
    <ignoredError sqref="B25:D25 F25:L25 N25:Q25" formulaRange="1"/>
    <ignoredError sqref="E25 M25" formula="1" formulaRange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C389-FE3A-4FDC-92D7-09D29D808AF9}">
  <sheetPr codeName="Planilha13">
    <tabColor theme="0" tint="-4.9989318521683403E-2"/>
  </sheetPr>
  <dimension ref="A1:R33"/>
  <sheetViews>
    <sheetView showGridLines="0" showRuler="0" zoomScale="120" zoomScaleNormal="120" zoomScaleSheetLayoutView="100" workbookViewId="0">
      <selection activeCell="O1" sqref="O1"/>
    </sheetView>
  </sheetViews>
  <sheetFormatPr defaultColWidth="7.88671875" defaultRowHeight="13.2" x14ac:dyDescent="0.25"/>
  <cols>
    <col min="1" max="1" width="15.6640625" style="9" customWidth="1"/>
    <col min="2" max="2" width="10" style="9" customWidth="1"/>
    <col min="3" max="18" width="7.6640625" style="9" customWidth="1"/>
    <col min="19" max="24" width="5.6640625" style="9" customWidth="1"/>
    <col min="25" max="16384" width="7.88671875" style="9"/>
  </cols>
  <sheetData>
    <row r="1" spans="1:18" ht="19.95" customHeight="1" x14ac:dyDescent="0.3">
      <c r="A1" s="1" t="s">
        <v>321</v>
      </c>
      <c r="C1" s="36"/>
      <c r="D1" s="36"/>
      <c r="E1" s="36"/>
      <c r="F1" s="36"/>
      <c r="G1" s="36"/>
      <c r="H1" s="37"/>
      <c r="I1" s="37"/>
      <c r="J1" s="37"/>
      <c r="K1" s="37"/>
    </row>
    <row r="2" spans="1:18" s="12" customFormat="1" ht="25.2" customHeight="1" thickBot="1" x14ac:dyDescent="0.25">
      <c r="B2" s="10"/>
      <c r="C2" s="11"/>
      <c r="D2" s="11"/>
      <c r="E2" s="11"/>
      <c r="F2" s="11"/>
      <c r="G2" s="11"/>
    </row>
    <row r="3" spans="1:18" s="12" customFormat="1" ht="13.95" customHeight="1" x14ac:dyDescent="0.2">
      <c r="A3" s="213" t="s">
        <v>234</v>
      </c>
      <c r="B3" s="227"/>
      <c r="C3" s="215" t="s">
        <v>235</v>
      </c>
      <c r="D3" s="216"/>
      <c r="E3" s="216"/>
      <c r="F3" s="217"/>
      <c r="G3" s="216" t="s">
        <v>56</v>
      </c>
      <c r="H3" s="216"/>
      <c r="I3" s="216"/>
      <c r="J3" s="216"/>
      <c r="K3" s="215" t="s">
        <v>57</v>
      </c>
      <c r="L3" s="216"/>
      <c r="M3" s="216"/>
      <c r="N3" s="217"/>
      <c r="O3" s="216" t="s">
        <v>0</v>
      </c>
      <c r="P3" s="216"/>
      <c r="Q3" s="216"/>
      <c r="R3" s="217"/>
    </row>
    <row r="4" spans="1:18" s="12" customFormat="1" ht="24.9" customHeight="1" x14ac:dyDescent="0.2">
      <c r="A4" s="228"/>
      <c r="B4" s="229"/>
      <c r="C4" s="64">
        <v>2019</v>
      </c>
      <c r="D4" s="65">
        <v>2023</v>
      </c>
      <c r="E4" s="65">
        <v>2024</v>
      </c>
      <c r="F4" s="66" t="s">
        <v>352</v>
      </c>
      <c r="G4" s="64">
        <v>2019</v>
      </c>
      <c r="H4" s="65">
        <v>2023</v>
      </c>
      <c r="I4" s="65">
        <v>2024</v>
      </c>
      <c r="J4" s="66" t="s">
        <v>352</v>
      </c>
      <c r="K4" s="64">
        <v>2019</v>
      </c>
      <c r="L4" s="65">
        <v>2023</v>
      </c>
      <c r="M4" s="65">
        <v>2024</v>
      </c>
      <c r="N4" s="66" t="s">
        <v>352</v>
      </c>
      <c r="O4" s="64">
        <v>2019</v>
      </c>
      <c r="P4" s="65">
        <v>2023</v>
      </c>
      <c r="Q4" s="65">
        <v>2024</v>
      </c>
      <c r="R4" s="66" t="s">
        <v>352</v>
      </c>
    </row>
    <row r="5" spans="1:18" s="12" customFormat="1" ht="12" customHeight="1" thickBot="1" x14ac:dyDescent="0.25">
      <c r="A5" s="225" t="s">
        <v>236</v>
      </c>
      <c r="B5" s="125" t="s">
        <v>237</v>
      </c>
      <c r="C5" s="67">
        <v>3999</v>
      </c>
      <c r="D5" s="68">
        <v>3421</v>
      </c>
      <c r="E5" s="68">
        <v>3550</v>
      </c>
      <c r="F5" s="126">
        <f>E5/D5-1</f>
        <v>3.7708272434960444E-2</v>
      </c>
      <c r="G5" s="68">
        <v>26869</v>
      </c>
      <c r="H5" s="68">
        <v>24957</v>
      </c>
      <c r="I5" s="68">
        <v>26450</v>
      </c>
      <c r="J5" s="127">
        <f>I5/H5-1</f>
        <v>5.9822895380053698E-2</v>
      </c>
      <c r="K5" s="68">
        <v>6460</v>
      </c>
      <c r="L5" s="68">
        <v>6510</v>
      </c>
      <c r="M5" s="68">
        <v>6496</v>
      </c>
      <c r="N5" s="126">
        <f>M5/L5-1</f>
        <v>-2.1505376344086446E-3</v>
      </c>
      <c r="O5" s="68">
        <f>C5+G5+K5</f>
        <v>37328</v>
      </c>
      <c r="P5" s="68">
        <f t="shared" ref="P5:Q8" si="0">D5+H5+L5</f>
        <v>34888</v>
      </c>
      <c r="Q5" s="68">
        <f t="shared" si="0"/>
        <v>36496</v>
      </c>
      <c r="R5" s="127">
        <f>Q5/P5-1</f>
        <v>4.6090346250859948E-2</v>
      </c>
    </row>
    <row r="6" spans="1:18" s="12" customFormat="1" ht="12" customHeight="1" thickTop="1" thickBot="1" x14ac:dyDescent="0.25">
      <c r="A6" s="223"/>
      <c r="B6" s="43" t="s">
        <v>238</v>
      </c>
      <c r="C6" s="13">
        <v>822</v>
      </c>
      <c r="D6" s="13">
        <v>753</v>
      </c>
      <c r="E6" s="13">
        <v>693</v>
      </c>
      <c r="F6" s="44">
        <f t="shared" ref="F6:F23" si="1">E6/D6-1</f>
        <v>-7.9681274900398447E-2</v>
      </c>
      <c r="G6" s="13">
        <v>5528</v>
      </c>
      <c r="H6" s="13">
        <v>5178</v>
      </c>
      <c r="I6" s="13">
        <v>5101</v>
      </c>
      <c r="J6" s="45">
        <f t="shared" ref="J6:J23" si="2">I6/H6-1</f>
        <v>-1.4870606411741982E-2</v>
      </c>
      <c r="K6" s="13">
        <v>1376</v>
      </c>
      <c r="L6" s="13">
        <v>1231</v>
      </c>
      <c r="M6" s="13">
        <v>1192</v>
      </c>
      <c r="N6" s="44">
        <f t="shared" ref="N6:N23" si="3">M6/L6-1</f>
        <v>-3.1681559707554818E-2</v>
      </c>
      <c r="O6" s="147">
        <f t="shared" ref="O6:O8" si="4">C6+G6+K6</f>
        <v>7726</v>
      </c>
      <c r="P6" s="152">
        <f t="shared" si="0"/>
        <v>7162</v>
      </c>
      <c r="Q6" s="152">
        <f t="shared" si="0"/>
        <v>6986</v>
      </c>
      <c r="R6" s="45">
        <f t="shared" ref="R6:R23" si="5">Q6/P6-1</f>
        <v>-2.4574141301312524E-2</v>
      </c>
    </row>
    <row r="7" spans="1:18" s="12" customFormat="1" ht="12" customHeight="1" thickTop="1" thickBot="1" x14ac:dyDescent="0.25">
      <c r="A7" s="223"/>
      <c r="B7" s="43" t="s">
        <v>239</v>
      </c>
      <c r="C7" s="13">
        <v>35</v>
      </c>
      <c r="D7" s="13">
        <v>40</v>
      </c>
      <c r="E7" s="13">
        <v>25</v>
      </c>
      <c r="F7" s="44">
        <f t="shared" si="1"/>
        <v>-0.375</v>
      </c>
      <c r="G7" s="13">
        <v>322</v>
      </c>
      <c r="H7" s="13">
        <v>256</v>
      </c>
      <c r="I7" s="13">
        <v>262</v>
      </c>
      <c r="J7" s="45">
        <f t="shared" si="2"/>
        <v>2.34375E-2</v>
      </c>
      <c r="K7" s="13">
        <v>94</v>
      </c>
      <c r="L7" s="13">
        <v>48</v>
      </c>
      <c r="M7" s="13">
        <v>63</v>
      </c>
      <c r="N7" s="44">
        <f t="shared" si="3"/>
        <v>0.3125</v>
      </c>
      <c r="O7" s="147">
        <f t="shared" si="4"/>
        <v>451</v>
      </c>
      <c r="P7" s="152">
        <f t="shared" si="0"/>
        <v>344</v>
      </c>
      <c r="Q7" s="152">
        <f t="shared" si="0"/>
        <v>350</v>
      </c>
      <c r="R7" s="45">
        <f t="shared" si="5"/>
        <v>1.744186046511631E-2</v>
      </c>
    </row>
    <row r="8" spans="1:18" s="12" customFormat="1" ht="12" customHeight="1" thickTop="1" x14ac:dyDescent="0.2">
      <c r="A8" s="223"/>
      <c r="B8" s="43" t="s">
        <v>240</v>
      </c>
      <c r="C8" s="13">
        <v>108</v>
      </c>
      <c r="D8" s="13">
        <v>103</v>
      </c>
      <c r="E8" s="13">
        <v>116</v>
      </c>
      <c r="F8" s="44">
        <f t="shared" si="1"/>
        <v>0.12621359223300965</v>
      </c>
      <c r="G8" s="13">
        <v>39</v>
      </c>
      <c r="H8" s="13">
        <v>38</v>
      </c>
      <c r="I8" s="13">
        <v>43</v>
      </c>
      <c r="J8" s="45">
        <f t="shared" si="2"/>
        <v>0.13157894736842102</v>
      </c>
      <c r="K8" s="13">
        <v>13</v>
      </c>
      <c r="L8" s="13">
        <v>6</v>
      </c>
      <c r="M8" s="13">
        <v>4</v>
      </c>
      <c r="N8" s="44">
        <f t="shared" si="3"/>
        <v>-0.33333333333333337</v>
      </c>
      <c r="O8" s="13">
        <f t="shared" si="4"/>
        <v>160</v>
      </c>
      <c r="P8" s="13">
        <f t="shared" si="0"/>
        <v>147</v>
      </c>
      <c r="Q8" s="13">
        <f t="shared" si="0"/>
        <v>163</v>
      </c>
      <c r="R8" s="45">
        <f t="shared" si="5"/>
        <v>0.10884353741496589</v>
      </c>
    </row>
    <row r="9" spans="1:18" s="12" customFormat="1" ht="12" customHeight="1" x14ac:dyDescent="0.2">
      <c r="A9" s="226"/>
      <c r="B9" s="128" t="s">
        <v>209</v>
      </c>
      <c r="C9" s="63">
        <f>SUM(C5:C8)</f>
        <v>4964</v>
      </c>
      <c r="D9" s="62">
        <f t="shared" ref="D9:E9" si="6">SUM(D5:D8)</f>
        <v>4317</v>
      </c>
      <c r="E9" s="62">
        <f t="shared" si="6"/>
        <v>4384</v>
      </c>
      <c r="F9" s="132">
        <f t="shared" si="1"/>
        <v>1.5520037062775049E-2</v>
      </c>
      <c r="G9" s="62">
        <f>SUM(G5:G8)</f>
        <v>32758</v>
      </c>
      <c r="H9" s="62">
        <f t="shared" ref="H9:I9" si="7">SUM(H5:H8)</f>
        <v>30429</v>
      </c>
      <c r="I9" s="62">
        <f t="shared" si="7"/>
        <v>31856</v>
      </c>
      <c r="J9" s="56">
        <f t="shared" si="2"/>
        <v>4.6896053107233326E-2</v>
      </c>
      <c r="K9" s="63">
        <f>SUM(K5:K8)</f>
        <v>7943</v>
      </c>
      <c r="L9" s="62">
        <f t="shared" ref="L9:M9" si="8">SUM(L5:L8)</f>
        <v>7795</v>
      </c>
      <c r="M9" s="62">
        <f t="shared" si="8"/>
        <v>7755</v>
      </c>
      <c r="N9" s="132">
        <f t="shared" si="3"/>
        <v>-5.1314945477870522E-3</v>
      </c>
      <c r="O9" s="62">
        <f>SUM(O5:O8)</f>
        <v>45665</v>
      </c>
      <c r="P9" s="62">
        <f t="shared" ref="P9:Q9" si="9">SUM(P5:P8)</f>
        <v>42541</v>
      </c>
      <c r="Q9" s="62">
        <f t="shared" si="9"/>
        <v>43995</v>
      </c>
      <c r="R9" s="56">
        <f t="shared" si="5"/>
        <v>3.4178792223972243E-2</v>
      </c>
    </row>
    <row r="10" spans="1:18" s="12" customFormat="1" ht="12" customHeight="1" x14ac:dyDescent="0.2">
      <c r="A10" s="223" t="s">
        <v>241</v>
      </c>
      <c r="B10" s="43" t="s">
        <v>237</v>
      </c>
      <c r="C10" s="87">
        <v>104</v>
      </c>
      <c r="D10" s="86">
        <v>109</v>
      </c>
      <c r="E10" s="86">
        <v>122</v>
      </c>
      <c r="F10" s="126">
        <f t="shared" si="1"/>
        <v>0.11926605504587151</v>
      </c>
      <c r="G10" s="86">
        <v>364</v>
      </c>
      <c r="H10" s="86">
        <v>353</v>
      </c>
      <c r="I10" s="86">
        <v>415</v>
      </c>
      <c r="J10" s="127">
        <f t="shared" si="2"/>
        <v>0.17563739376770537</v>
      </c>
      <c r="K10" s="155">
        <v>26</v>
      </c>
      <c r="L10" s="155">
        <v>31</v>
      </c>
      <c r="M10" s="155">
        <v>27</v>
      </c>
      <c r="N10" s="126">
        <f t="shared" si="3"/>
        <v>-0.12903225806451613</v>
      </c>
      <c r="O10" s="86">
        <f>C10+G10+K10</f>
        <v>494</v>
      </c>
      <c r="P10" s="86">
        <f t="shared" ref="P10:Q13" si="10">D10+H10+L10</f>
        <v>493</v>
      </c>
      <c r="Q10" s="86">
        <f t="shared" si="10"/>
        <v>564</v>
      </c>
      <c r="R10" s="127">
        <f t="shared" si="5"/>
        <v>0.14401622718052742</v>
      </c>
    </row>
    <row r="11" spans="1:18" s="12" customFormat="1" ht="12" customHeight="1" x14ac:dyDescent="0.2">
      <c r="A11" s="223"/>
      <c r="B11" s="43" t="s">
        <v>238</v>
      </c>
      <c r="C11" s="28">
        <v>50</v>
      </c>
      <c r="D11" s="26">
        <v>38</v>
      </c>
      <c r="E11" s="26">
        <v>37</v>
      </c>
      <c r="F11" s="44">
        <f t="shared" si="1"/>
        <v>-2.6315789473684181E-2</v>
      </c>
      <c r="G11" s="26">
        <v>590</v>
      </c>
      <c r="H11" s="26">
        <v>579</v>
      </c>
      <c r="I11" s="26">
        <v>586</v>
      </c>
      <c r="J11" s="45">
        <f t="shared" si="2"/>
        <v>1.2089810017271052E-2</v>
      </c>
      <c r="K11" s="154">
        <v>131</v>
      </c>
      <c r="L11" s="154">
        <v>102</v>
      </c>
      <c r="M11" s="154">
        <v>125</v>
      </c>
      <c r="N11" s="44">
        <f t="shared" si="3"/>
        <v>0.22549019607843146</v>
      </c>
      <c r="O11" s="26">
        <f t="shared" ref="O11:O13" si="11">C11+G11+K11</f>
        <v>771</v>
      </c>
      <c r="P11" s="26">
        <f t="shared" si="10"/>
        <v>719</v>
      </c>
      <c r="Q11" s="26">
        <f t="shared" si="10"/>
        <v>748</v>
      </c>
      <c r="R11" s="45">
        <f t="shared" si="5"/>
        <v>4.0333796940194677E-2</v>
      </c>
    </row>
    <row r="12" spans="1:18" s="12" customFormat="1" ht="12" customHeight="1" x14ac:dyDescent="0.2">
      <c r="A12" s="223"/>
      <c r="B12" s="43" t="s">
        <v>239</v>
      </c>
      <c r="C12" s="28">
        <v>21</v>
      </c>
      <c r="D12" s="26">
        <v>17</v>
      </c>
      <c r="E12" s="26">
        <v>17</v>
      </c>
      <c r="F12" s="44">
        <f t="shared" si="1"/>
        <v>0</v>
      </c>
      <c r="G12" s="26">
        <v>314</v>
      </c>
      <c r="H12" s="26">
        <v>298</v>
      </c>
      <c r="I12" s="26">
        <v>343</v>
      </c>
      <c r="J12" s="45">
        <f t="shared" si="2"/>
        <v>0.15100671140939603</v>
      </c>
      <c r="K12" s="26">
        <v>75</v>
      </c>
      <c r="L12" s="26">
        <v>63</v>
      </c>
      <c r="M12" s="26">
        <v>76</v>
      </c>
      <c r="N12" s="44">
        <f t="shared" si="3"/>
        <v>0.20634920634920628</v>
      </c>
      <c r="O12" s="26">
        <f t="shared" si="11"/>
        <v>410</v>
      </c>
      <c r="P12" s="26">
        <f t="shared" si="10"/>
        <v>378</v>
      </c>
      <c r="Q12" s="26">
        <f t="shared" si="10"/>
        <v>436</v>
      </c>
      <c r="R12" s="45">
        <f t="shared" si="5"/>
        <v>0.15343915343915349</v>
      </c>
    </row>
    <row r="13" spans="1:18" s="12" customFormat="1" ht="12" customHeight="1" x14ac:dyDescent="0.2">
      <c r="A13" s="223"/>
      <c r="B13" s="43" t="s">
        <v>240</v>
      </c>
      <c r="C13" s="28">
        <v>3</v>
      </c>
      <c r="D13" s="26">
        <v>1</v>
      </c>
      <c r="E13" s="26">
        <v>0</v>
      </c>
      <c r="F13" s="44">
        <f t="shared" si="1"/>
        <v>-1</v>
      </c>
      <c r="G13" s="26">
        <v>1</v>
      </c>
      <c r="H13" s="26">
        <v>1</v>
      </c>
      <c r="I13" s="26">
        <v>1</v>
      </c>
      <c r="J13" s="45">
        <f t="shared" si="2"/>
        <v>0</v>
      </c>
      <c r="K13" s="26">
        <v>0</v>
      </c>
      <c r="L13" s="26">
        <v>0</v>
      </c>
      <c r="M13" s="26">
        <v>0</v>
      </c>
      <c r="N13" s="45" t="s">
        <v>62</v>
      </c>
      <c r="O13" s="26">
        <f t="shared" si="11"/>
        <v>4</v>
      </c>
      <c r="P13" s="26">
        <f t="shared" si="10"/>
        <v>2</v>
      </c>
      <c r="Q13" s="26">
        <f t="shared" si="10"/>
        <v>1</v>
      </c>
      <c r="R13" s="45">
        <f t="shared" si="5"/>
        <v>-0.5</v>
      </c>
    </row>
    <row r="14" spans="1:18" s="12" customFormat="1" ht="12" customHeight="1" x14ac:dyDescent="0.2">
      <c r="A14" s="223"/>
      <c r="B14" s="131" t="s">
        <v>209</v>
      </c>
      <c r="C14" s="121">
        <f>SUM(C10:C13)</f>
        <v>178</v>
      </c>
      <c r="D14" s="122">
        <f t="shared" ref="D14:E14" si="12">SUM(D10:D13)</f>
        <v>165</v>
      </c>
      <c r="E14" s="122">
        <f t="shared" si="12"/>
        <v>176</v>
      </c>
      <c r="F14" s="129">
        <f t="shared" si="1"/>
        <v>6.6666666666666652E-2</v>
      </c>
      <c r="G14" s="122">
        <f>SUM(G10:G13)</f>
        <v>1269</v>
      </c>
      <c r="H14" s="122">
        <f t="shared" ref="H14:I14" si="13">SUM(H10:H13)</f>
        <v>1231</v>
      </c>
      <c r="I14" s="122">
        <f t="shared" si="13"/>
        <v>1345</v>
      </c>
      <c r="J14" s="130">
        <f t="shared" si="2"/>
        <v>9.2607636068237298E-2</v>
      </c>
      <c r="K14" s="121">
        <f>SUM(K10:K13)</f>
        <v>232</v>
      </c>
      <c r="L14" s="122">
        <f t="shared" ref="L14:M14" si="14">SUM(L10:L13)</f>
        <v>196</v>
      </c>
      <c r="M14" s="122">
        <f t="shared" si="14"/>
        <v>228</v>
      </c>
      <c r="N14" s="129">
        <f t="shared" si="3"/>
        <v>0.16326530612244894</v>
      </c>
      <c r="O14" s="122">
        <f>SUM(O10:O13)</f>
        <v>1679</v>
      </c>
      <c r="P14" s="122">
        <f t="shared" ref="P14:Q14" si="15">SUM(P10:P13)</f>
        <v>1592</v>
      </c>
      <c r="Q14" s="122">
        <f t="shared" si="15"/>
        <v>1749</v>
      </c>
      <c r="R14" s="130">
        <f t="shared" si="5"/>
        <v>9.8618090452261331E-2</v>
      </c>
    </row>
    <row r="15" spans="1:18" s="12" customFormat="1" ht="12" customHeight="1" thickBot="1" x14ac:dyDescent="0.25">
      <c r="A15" s="225" t="s">
        <v>91</v>
      </c>
      <c r="B15" s="225"/>
      <c r="C15" s="26">
        <v>73</v>
      </c>
      <c r="D15" s="26">
        <v>32</v>
      </c>
      <c r="E15" s="26">
        <v>36</v>
      </c>
      <c r="F15" s="44">
        <f t="shared" si="1"/>
        <v>0.125</v>
      </c>
      <c r="G15" s="13">
        <v>1399</v>
      </c>
      <c r="H15" s="13">
        <v>1011</v>
      </c>
      <c r="I15" s="13">
        <v>939</v>
      </c>
      <c r="J15" s="45">
        <f t="shared" si="2"/>
        <v>-7.1216617210682509E-2</v>
      </c>
      <c r="K15" s="13">
        <v>1034</v>
      </c>
      <c r="L15" s="13">
        <v>842</v>
      </c>
      <c r="M15" s="13">
        <v>704</v>
      </c>
      <c r="N15" s="44">
        <f t="shared" si="3"/>
        <v>-0.16389548693586697</v>
      </c>
      <c r="O15" s="13">
        <f>C15+G15+K15</f>
        <v>2506</v>
      </c>
      <c r="P15" s="13">
        <f t="shared" ref="P15:Q22" si="16">D15+H15+L15</f>
        <v>1885</v>
      </c>
      <c r="Q15" s="13">
        <f t="shared" si="16"/>
        <v>1679</v>
      </c>
      <c r="R15" s="45">
        <f t="shared" si="5"/>
        <v>-0.10928381962864719</v>
      </c>
    </row>
    <row r="16" spans="1:18" s="12" customFormat="1" ht="12" customHeight="1" thickTop="1" thickBot="1" x14ac:dyDescent="0.25">
      <c r="A16" s="223" t="s">
        <v>79</v>
      </c>
      <c r="B16" s="223"/>
      <c r="C16" s="26">
        <v>136</v>
      </c>
      <c r="D16" s="26">
        <v>146</v>
      </c>
      <c r="E16" s="26">
        <v>175</v>
      </c>
      <c r="F16" s="44">
        <f t="shared" si="1"/>
        <v>0.19863013698630128</v>
      </c>
      <c r="G16" s="13">
        <v>2694</v>
      </c>
      <c r="H16" s="13">
        <v>3450</v>
      </c>
      <c r="I16" s="13">
        <v>3658</v>
      </c>
      <c r="J16" s="45">
        <f t="shared" si="2"/>
        <v>6.0289855072463761E-2</v>
      </c>
      <c r="K16" s="13">
        <v>1621</v>
      </c>
      <c r="L16" s="13">
        <v>1924</v>
      </c>
      <c r="M16" s="13">
        <v>2045</v>
      </c>
      <c r="N16" s="44">
        <f t="shared" si="3"/>
        <v>6.288981288981299E-2</v>
      </c>
      <c r="O16" s="147">
        <f t="shared" ref="O16:O22" si="17">C16+G16+K16</f>
        <v>4451</v>
      </c>
      <c r="P16" s="152">
        <f t="shared" si="16"/>
        <v>5520</v>
      </c>
      <c r="Q16" s="152">
        <f t="shared" si="16"/>
        <v>5878</v>
      </c>
      <c r="R16" s="45">
        <f t="shared" si="5"/>
        <v>6.4855072463768204E-2</v>
      </c>
    </row>
    <row r="17" spans="1:18" s="12" customFormat="1" ht="12" customHeight="1" thickTop="1" thickBot="1" x14ac:dyDescent="0.25">
      <c r="A17" s="223" t="s">
        <v>80</v>
      </c>
      <c r="B17" s="223"/>
      <c r="C17" s="26">
        <v>93</v>
      </c>
      <c r="D17" s="26">
        <v>89</v>
      </c>
      <c r="E17" s="26">
        <v>115</v>
      </c>
      <c r="F17" s="44">
        <f t="shared" si="1"/>
        <v>0.2921348314606742</v>
      </c>
      <c r="G17" s="13">
        <v>1898</v>
      </c>
      <c r="H17" s="13">
        <v>2437</v>
      </c>
      <c r="I17" s="13">
        <v>2613</v>
      </c>
      <c r="J17" s="45">
        <f t="shared" si="2"/>
        <v>7.221994255231845E-2</v>
      </c>
      <c r="K17" s="13">
        <v>1096</v>
      </c>
      <c r="L17" s="13">
        <v>1396</v>
      </c>
      <c r="M17" s="13">
        <v>1510</v>
      </c>
      <c r="N17" s="44">
        <f t="shared" si="3"/>
        <v>8.1661891117478458E-2</v>
      </c>
      <c r="O17" s="147">
        <f t="shared" si="17"/>
        <v>3087</v>
      </c>
      <c r="P17" s="152">
        <f t="shared" si="16"/>
        <v>3922</v>
      </c>
      <c r="Q17" s="152">
        <f t="shared" si="16"/>
        <v>4238</v>
      </c>
      <c r="R17" s="45">
        <f t="shared" si="5"/>
        <v>8.0571137174910712E-2</v>
      </c>
    </row>
    <row r="18" spans="1:18" s="12" customFormat="1" ht="12" customHeight="1" thickTop="1" thickBot="1" x14ac:dyDescent="0.25">
      <c r="A18" s="223" t="s">
        <v>81</v>
      </c>
      <c r="B18" s="223"/>
      <c r="C18" s="26">
        <v>139</v>
      </c>
      <c r="D18" s="26">
        <v>149</v>
      </c>
      <c r="E18" s="26">
        <v>155</v>
      </c>
      <c r="F18" s="44">
        <f>E18/D18-1</f>
        <v>4.0268456375838868E-2</v>
      </c>
      <c r="G18" s="13">
        <v>1612</v>
      </c>
      <c r="H18" s="13">
        <v>2132</v>
      </c>
      <c r="I18" s="13">
        <v>2401</v>
      </c>
      <c r="J18" s="45">
        <f>I18/H18-1</f>
        <v>0.12617260787992501</v>
      </c>
      <c r="K18" s="13">
        <v>680</v>
      </c>
      <c r="L18" s="13">
        <v>1048</v>
      </c>
      <c r="M18" s="13">
        <v>1145</v>
      </c>
      <c r="N18" s="44">
        <f>M18/L18-1</f>
        <v>9.2557251908397031E-2</v>
      </c>
      <c r="O18" s="147">
        <f t="shared" si="17"/>
        <v>2431</v>
      </c>
      <c r="P18" s="152">
        <f t="shared" si="16"/>
        <v>3329</v>
      </c>
      <c r="Q18" s="152">
        <f t="shared" si="16"/>
        <v>3701</v>
      </c>
      <c r="R18" s="45">
        <f>Q18/P18-1</f>
        <v>0.11174526884950442</v>
      </c>
    </row>
    <row r="19" spans="1:18" s="12" customFormat="1" ht="12" customHeight="1" thickTop="1" thickBot="1" x14ac:dyDescent="0.25">
      <c r="A19" s="223" t="s">
        <v>82</v>
      </c>
      <c r="B19" s="223"/>
      <c r="C19" s="26">
        <v>15</v>
      </c>
      <c r="D19" s="26">
        <v>15</v>
      </c>
      <c r="E19" s="26">
        <v>22</v>
      </c>
      <c r="F19" s="44">
        <f>E19/D19-1</f>
        <v>0.46666666666666656</v>
      </c>
      <c r="G19" s="13">
        <v>125</v>
      </c>
      <c r="H19" s="13">
        <v>119</v>
      </c>
      <c r="I19" s="13">
        <v>117</v>
      </c>
      <c r="J19" s="45">
        <f>I19/H19-1</f>
        <v>-1.6806722689075682E-2</v>
      </c>
      <c r="K19" s="13">
        <v>207</v>
      </c>
      <c r="L19" s="13">
        <v>143</v>
      </c>
      <c r="M19" s="13">
        <v>152</v>
      </c>
      <c r="N19" s="44">
        <f>M19/L19-1</f>
        <v>6.2937062937062915E-2</v>
      </c>
      <c r="O19" s="147">
        <f t="shared" si="17"/>
        <v>347</v>
      </c>
      <c r="P19" s="152">
        <f t="shared" si="16"/>
        <v>277</v>
      </c>
      <c r="Q19" s="152">
        <f t="shared" si="16"/>
        <v>291</v>
      </c>
      <c r="R19" s="45">
        <f>Q19/P19-1</f>
        <v>5.0541516245487417E-2</v>
      </c>
    </row>
    <row r="20" spans="1:18" s="12" customFormat="1" ht="12" customHeight="1" thickTop="1" thickBot="1" x14ac:dyDescent="0.25">
      <c r="A20" s="223" t="s">
        <v>83</v>
      </c>
      <c r="B20" s="223"/>
      <c r="C20" s="26">
        <v>10</v>
      </c>
      <c r="D20" s="26">
        <v>5</v>
      </c>
      <c r="E20" s="26">
        <v>10</v>
      </c>
      <c r="F20" s="44">
        <f>E20/D20-1</f>
        <v>1</v>
      </c>
      <c r="G20" s="13">
        <v>23</v>
      </c>
      <c r="H20" s="13">
        <v>21</v>
      </c>
      <c r="I20" s="13">
        <v>19</v>
      </c>
      <c r="J20" s="45">
        <f>I20/H20-1</f>
        <v>-9.5238095238095233E-2</v>
      </c>
      <c r="K20" s="13">
        <v>14</v>
      </c>
      <c r="L20" s="13">
        <v>15</v>
      </c>
      <c r="M20" s="13">
        <v>14</v>
      </c>
      <c r="N20" s="44">
        <f>M20/L20-1</f>
        <v>-6.6666666666666652E-2</v>
      </c>
      <c r="O20" s="147">
        <f t="shared" si="17"/>
        <v>47</v>
      </c>
      <c r="P20" s="152">
        <f t="shared" si="16"/>
        <v>41</v>
      </c>
      <c r="Q20" s="152">
        <f t="shared" si="16"/>
        <v>43</v>
      </c>
      <c r="R20" s="45">
        <f>Q20/P20-1</f>
        <v>4.8780487804878092E-2</v>
      </c>
    </row>
    <row r="21" spans="1:18" s="12" customFormat="1" ht="12" customHeight="1" thickTop="1" thickBot="1" x14ac:dyDescent="0.25">
      <c r="A21" s="223" t="s">
        <v>84</v>
      </c>
      <c r="B21" s="223"/>
      <c r="C21" s="26">
        <v>10</v>
      </c>
      <c r="D21" s="26">
        <v>5</v>
      </c>
      <c r="E21" s="26">
        <v>14</v>
      </c>
      <c r="F21" s="44">
        <f>E21/D21-1</f>
        <v>1.7999999999999998</v>
      </c>
      <c r="G21" s="13">
        <v>113</v>
      </c>
      <c r="H21" s="13">
        <v>109</v>
      </c>
      <c r="I21" s="13">
        <v>115</v>
      </c>
      <c r="J21" s="45">
        <f>I21/H21-1</f>
        <v>5.504587155963292E-2</v>
      </c>
      <c r="K21" s="13">
        <v>93</v>
      </c>
      <c r="L21" s="13">
        <v>81</v>
      </c>
      <c r="M21" s="13">
        <v>110</v>
      </c>
      <c r="N21" s="44">
        <f>M21/L21-1</f>
        <v>0.35802469135802473</v>
      </c>
      <c r="O21" s="147">
        <f t="shared" si="17"/>
        <v>216</v>
      </c>
      <c r="P21" s="152">
        <f t="shared" si="16"/>
        <v>195</v>
      </c>
      <c r="Q21" s="152">
        <f t="shared" si="16"/>
        <v>239</v>
      </c>
      <c r="R21" s="45">
        <f>Q21/P21-1</f>
        <v>0.22564102564102573</v>
      </c>
    </row>
    <row r="22" spans="1:18" s="12" customFormat="1" ht="12" customHeight="1" thickTop="1" x14ac:dyDescent="0.2">
      <c r="A22" s="223" t="s">
        <v>85</v>
      </c>
      <c r="B22" s="223"/>
      <c r="C22" s="26">
        <v>123</v>
      </c>
      <c r="D22" s="26">
        <v>122</v>
      </c>
      <c r="E22" s="26">
        <v>172</v>
      </c>
      <c r="F22" s="44">
        <f t="shared" si="1"/>
        <v>0.4098360655737705</v>
      </c>
      <c r="G22" s="13">
        <v>193</v>
      </c>
      <c r="H22" s="13">
        <v>245</v>
      </c>
      <c r="I22" s="13">
        <v>244</v>
      </c>
      <c r="J22" s="45">
        <f t="shared" si="2"/>
        <v>-4.0816326530612734E-3</v>
      </c>
      <c r="K22" s="13">
        <v>27</v>
      </c>
      <c r="L22" s="13">
        <v>31</v>
      </c>
      <c r="M22" s="13">
        <v>29</v>
      </c>
      <c r="N22" s="44">
        <f t="shared" si="3"/>
        <v>-6.4516129032258118E-2</v>
      </c>
      <c r="O22" s="13">
        <f t="shared" si="17"/>
        <v>343</v>
      </c>
      <c r="P22" s="13">
        <f t="shared" si="16"/>
        <v>398</v>
      </c>
      <c r="Q22" s="13">
        <f t="shared" si="16"/>
        <v>445</v>
      </c>
      <c r="R22" s="45">
        <f t="shared" si="5"/>
        <v>0.11809045226130643</v>
      </c>
    </row>
    <row r="23" spans="1:18" s="12" customFormat="1" ht="12" customHeight="1" thickBot="1" x14ac:dyDescent="0.25">
      <c r="A23" s="224" t="s">
        <v>209</v>
      </c>
      <c r="B23" s="224"/>
      <c r="C23" s="23">
        <f>SUM(C15:C22)+C14+C9</f>
        <v>5741</v>
      </c>
      <c r="D23" s="16">
        <f t="shared" ref="D23:E23" si="18">SUM(D15:D22)+D14+D9</f>
        <v>5045</v>
      </c>
      <c r="E23" s="16">
        <f t="shared" si="18"/>
        <v>5259</v>
      </c>
      <c r="F23" s="46">
        <f t="shared" si="1"/>
        <v>4.2418235877106136E-2</v>
      </c>
      <c r="G23" s="16">
        <f>SUM(G15:G22)+G14+G9</f>
        <v>42084</v>
      </c>
      <c r="H23" s="16">
        <f t="shared" ref="H23:I23" si="19">SUM(H15:H22)+H14+H9</f>
        <v>41184</v>
      </c>
      <c r="I23" s="16">
        <f t="shared" si="19"/>
        <v>43307</v>
      </c>
      <c r="J23" s="47">
        <f t="shared" si="2"/>
        <v>5.1549145299145227E-2</v>
      </c>
      <c r="K23" s="23">
        <f>SUM(K15:K22)+K14+K9</f>
        <v>12947</v>
      </c>
      <c r="L23" s="16">
        <f t="shared" ref="L23" si="20">SUM(L15:L22)+L14+L9</f>
        <v>13471</v>
      </c>
      <c r="M23" s="16">
        <f t="shared" ref="M23" si="21">SUM(M15:M22)+M14+M9</f>
        <v>13692</v>
      </c>
      <c r="N23" s="46">
        <f t="shared" si="3"/>
        <v>1.6405612055526708E-2</v>
      </c>
      <c r="O23" s="16">
        <f>SUM(O15:O22)+O14+O9</f>
        <v>60772</v>
      </c>
      <c r="P23" s="16">
        <f t="shared" ref="P23" si="22">SUM(P15:P22)+P14+P9</f>
        <v>59700</v>
      </c>
      <c r="Q23" s="16">
        <f t="shared" ref="Q23" si="23">SUM(Q15:Q22)+Q14+Q9</f>
        <v>62258</v>
      </c>
      <c r="R23" s="47">
        <f t="shared" si="5"/>
        <v>4.2847571189279732E-2</v>
      </c>
    </row>
    <row r="24" spans="1:18" s="12" customFormat="1" ht="12" customHeight="1" x14ac:dyDescent="0.2">
      <c r="A24" s="48" t="s">
        <v>365</v>
      </c>
    </row>
    <row r="25" spans="1:18" s="12" customFormat="1" ht="12" customHeight="1" x14ac:dyDescent="0.2"/>
    <row r="26" spans="1:18" s="12" customFormat="1" ht="12" customHeight="1" x14ac:dyDescent="0.2"/>
    <row r="27" spans="1:18" s="12" customFormat="1" ht="12" customHeight="1" x14ac:dyDescent="0.2"/>
    <row r="28" spans="1:18" s="12" customFormat="1" ht="12" customHeight="1" x14ac:dyDescent="0.2"/>
    <row r="29" spans="1:18" s="12" customFormat="1" ht="12" customHeight="1" x14ac:dyDescent="0.2"/>
    <row r="30" spans="1:18" ht="12" customHeight="1" x14ac:dyDescent="0.25"/>
    <row r="31" spans="1:18" ht="12" customHeight="1" x14ac:dyDescent="0.25"/>
    <row r="32" spans="1:18" ht="12" customHeight="1" x14ac:dyDescent="0.25"/>
    <row r="33" ht="12" customHeight="1" x14ac:dyDescent="0.25"/>
  </sheetData>
  <mergeCells count="16">
    <mergeCell ref="O3:R3"/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A5:A9"/>
    <mergeCell ref="A10:A14"/>
    <mergeCell ref="A3:B4"/>
    <mergeCell ref="C3:F3"/>
    <mergeCell ref="G3:J3"/>
    <mergeCell ref="K3:N3"/>
  </mergeCells>
  <pageMargins left="0.78740157480314965" right="0.78740157480314965" top="0.78740157480314965" bottom="0.78740157480314965" header="0" footer="0"/>
  <pageSetup paperSize="9" scale="70" fitToHeight="2" orientation="portrait" horizontalDpi="300" verticalDpi="300" r:id="rId1"/>
  <headerFooter scaleWithDoc="0" alignWithMargins="0"/>
  <ignoredErrors>
    <ignoredError sqref="C9:E9 R9" formulaRange="1"/>
    <ignoredError sqref="F14:N14 F23:R23 O10:Q14" formula="1"/>
    <ignoredError sqref="F9:N9 O9:Q9" formula="1" formulaRange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5BE9-32CF-4BF6-A800-B9BE28D76636}">
  <sheetPr codeName="Planilha14"/>
  <dimension ref="A1:AC33"/>
  <sheetViews>
    <sheetView showGridLines="0" showRuler="0" zoomScale="120" zoomScaleNormal="120" zoomScaleSheetLayoutView="100" workbookViewId="0">
      <selection activeCell="N1" sqref="N1"/>
    </sheetView>
  </sheetViews>
  <sheetFormatPr defaultColWidth="7.88671875" defaultRowHeight="13.2" x14ac:dyDescent="0.25"/>
  <cols>
    <col min="1" max="1" width="19" style="9" customWidth="1"/>
    <col min="2" max="25" width="7.6640625" style="9" customWidth="1"/>
    <col min="26" max="16384" width="7.88671875" style="9"/>
  </cols>
  <sheetData>
    <row r="1" spans="1:29" ht="19.95" customHeight="1" x14ac:dyDescent="0.3">
      <c r="A1" s="1" t="s">
        <v>322</v>
      </c>
      <c r="B1" s="29"/>
      <c r="C1" s="29"/>
      <c r="D1" s="29"/>
      <c r="E1" s="29"/>
      <c r="F1" s="33"/>
      <c r="G1" s="33"/>
      <c r="H1" s="33"/>
      <c r="I1" s="33"/>
    </row>
    <row r="2" spans="1:29" s="12" customFormat="1" ht="25.2" customHeight="1" thickBot="1" x14ac:dyDescent="0.25">
      <c r="A2" s="10"/>
      <c r="B2" s="11"/>
      <c r="C2" s="11"/>
      <c r="D2" s="11"/>
      <c r="E2" s="11"/>
    </row>
    <row r="3" spans="1:29" s="12" customFormat="1" ht="13.95" customHeight="1" x14ac:dyDescent="0.2">
      <c r="A3" s="213" t="s">
        <v>242</v>
      </c>
      <c r="B3" s="215" t="s">
        <v>243</v>
      </c>
      <c r="C3" s="216"/>
      <c r="D3" s="217"/>
      <c r="E3" s="216" t="s">
        <v>244</v>
      </c>
      <c r="F3" s="216"/>
      <c r="G3" s="216"/>
      <c r="H3" s="215" t="s">
        <v>245</v>
      </c>
      <c r="I3" s="216"/>
      <c r="J3" s="217"/>
      <c r="K3" s="216" t="s">
        <v>300</v>
      </c>
      <c r="L3" s="216"/>
      <c r="M3" s="216"/>
      <c r="N3" s="215" t="s">
        <v>303</v>
      </c>
      <c r="O3" s="216"/>
      <c r="P3" s="217"/>
      <c r="Q3" s="216" t="s">
        <v>364</v>
      </c>
      <c r="R3" s="216"/>
      <c r="S3" s="216"/>
      <c r="T3" s="230" t="s">
        <v>70</v>
      </c>
      <c r="U3" s="216"/>
      <c r="V3" s="231"/>
      <c r="W3" s="216" t="s">
        <v>209</v>
      </c>
      <c r="X3" s="216"/>
      <c r="Y3" s="216"/>
    </row>
    <row r="4" spans="1:29" s="12" customFormat="1" ht="24.9" customHeight="1" x14ac:dyDescent="0.2">
      <c r="A4" s="214"/>
      <c r="B4" s="64">
        <v>2019</v>
      </c>
      <c r="C4" s="65">
        <v>2023</v>
      </c>
      <c r="D4" s="66">
        <v>2024</v>
      </c>
      <c r="E4" s="65">
        <v>2019</v>
      </c>
      <c r="F4" s="65">
        <v>2023</v>
      </c>
      <c r="G4" s="65">
        <v>2024</v>
      </c>
      <c r="H4" s="64">
        <v>2019</v>
      </c>
      <c r="I4" s="65">
        <v>2023</v>
      </c>
      <c r="J4" s="66">
        <v>2024</v>
      </c>
      <c r="K4" s="65">
        <v>2019</v>
      </c>
      <c r="L4" s="65">
        <v>2023</v>
      </c>
      <c r="M4" s="66">
        <v>2024</v>
      </c>
      <c r="N4" s="64">
        <v>2019</v>
      </c>
      <c r="O4" s="65">
        <v>2023</v>
      </c>
      <c r="P4" s="66">
        <v>2024</v>
      </c>
      <c r="Q4" s="65">
        <v>2019</v>
      </c>
      <c r="R4" s="65">
        <v>2023</v>
      </c>
      <c r="S4" s="65">
        <v>2024</v>
      </c>
      <c r="T4" s="134">
        <v>2019</v>
      </c>
      <c r="U4" s="65">
        <v>2023</v>
      </c>
      <c r="V4" s="135">
        <v>2024</v>
      </c>
      <c r="W4" s="65">
        <v>2019</v>
      </c>
      <c r="X4" s="65">
        <v>2023</v>
      </c>
      <c r="Y4" s="65">
        <v>2024</v>
      </c>
    </row>
    <row r="5" spans="1:29" s="12" customFormat="1" ht="14.25" customHeight="1" thickBot="1" x14ac:dyDescent="0.25">
      <c r="A5" s="25" t="s">
        <v>304</v>
      </c>
      <c r="B5" s="156">
        <v>7963</v>
      </c>
      <c r="C5" s="156">
        <v>5733</v>
      </c>
      <c r="D5" s="156">
        <v>6068</v>
      </c>
      <c r="E5" s="156">
        <v>7072</v>
      </c>
      <c r="F5" s="156">
        <v>8075</v>
      </c>
      <c r="G5" s="156">
        <v>8825</v>
      </c>
      <c r="H5" s="156">
        <v>9078</v>
      </c>
      <c r="I5" s="156">
        <v>6567</v>
      </c>
      <c r="J5" s="156">
        <v>6395</v>
      </c>
      <c r="K5" s="156">
        <v>9960</v>
      </c>
      <c r="L5" s="156">
        <v>7945</v>
      </c>
      <c r="M5" s="183">
        <v>7680</v>
      </c>
      <c r="N5" s="184">
        <v>7697</v>
      </c>
      <c r="O5" s="184">
        <v>8038</v>
      </c>
      <c r="P5" s="184">
        <v>7700</v>
      </c>
      <c r="Q5" s="184">
        <v>3408</v>
      </c>
      <c r="R5" s="184">
        <v>5927</v>
      </c>
      <c r="S5" s="184">
        <v>7043</v>
      </c>
      <c r="T5" s="184">
        <v>487</v>
      </c>
      <c r="U5" s="184">
        <v>256</v>
      </c>
      <c r="V5" s="184">
        <v>284</v>
      </c>
      <c r="W5" s="144">
        <f>T5+Q5+N5+K5+H5+E5+B5</f>
        <v>45665</v>
      </c>
      <c r="X5" s="144">
        <f t="shared" ref="X5:Y14" si="0">U5+R5+O5+L5+I5+F5+C5</f>
        <v>42541</v>
      </c>
      <c r="Y5" s="145">
        <f t="shared" si="0"/>
        <v>43995</v>
      </c>
    </row>
    <row r="6" spans="1:29" s="12" customFormat="1" ht="14.25" customHeight="1" thickTop="1" thickBot="1" x14ac:dyDescent="0.25">
      <c r="A6" s="25" t="s">
        <v>305</v>
      </c>
      <c r="B6" s="157">
        <v>325</v>
      </c>
      <c r="C6" s="157">
        <v>401</v>
      </c>
      <c r="D6" s="157">
        <v>447</v>
      </c>
      <c r="E6" s="157">
        <v>342</v>
      </c>
      <c r="F6" s="157">
        <v>348</v>
      </c>
      <c r="G6" s="157">
        <v>444</v>
      </c>
      <c r="H6" s="157">
        <v>423</v>
      </c>
      <c r="I6" s="157">
        <v>294</v>
      </c>
      <c r="J6" s="157">
        <v>306</v>
      </c>
      <c r="K6" s="157">
        <v>322</v>
      </c>
      <c r="L6" s="157">
        <v>297</v>
      </c>
      <c r="M6" s="185">
        <v>268</v>
      </c>
      <c r="N6" s="186">
        <v>169</v>
      </c>
      <c r="O6" s="186">
        <v>131</v>
      </c>
      <c r="P6" s="186">
        <v>165</v>
      </c>
      <c r="Q6" s="186">
        <v>74</v>
      </c>
      <c r="R6" s="186">
        <v>107</v>
      </c>
      <c r="S6" s="186">
        <v>114</v>
      </c>
      <c r="T6" s="186">
        <v>24</v>
      </c>
      <c r="U6" s="186">
        <v>14</v>
      </c>
      <c r="V6" s="186">
        <v>5</v>
      </c>
      <c r="W6" s="146">
        <f t="shared" ref="W6:W14" si="1">T6+Q6+N6+K6+H6+E6+B6</f>
        <v>1679</v>
      </c>
      <c r="X6" s="146">
        <f t="shared" si="0"/>
        <v>1592</v>
      </c>
      <c r="Y6" s="147">
        <f t="shared" si="0"/>
        <v>1749</v>
      </c>
    </row>
    <row r="7" spans="1:29" s="12" customFormat="1" ht="14.25" customHeight="1" thickTop="1" thickBot="1" x14ac:dyDescent="0.25">
      <c r="A7" s="25" t="s">
        <v>91</v>
      </c>
      <c r="B7" s="157">
        <v>464</v>
      </c>
      <c r="C7" s="157">
        <v>269</v>
      </c>
      <c r="D7" s="157">
        <v>235</v>
      </c>
      <c r="E7" s="157">
        <v>311</v>
      </c>
      <c r="F7" s="157">
        <v>288</v>
      </c>
      <c r="G7" s="157">
        <v>234</v>
      </c>
      <c r="H7" s="157">
        <v>669</v>
      </c>
      <c r="I7" s="157">
        <v>199</v>
      </c>
      <c r="J7" s="157">
        <v>125</v>
      </c>
      <c r="K7" s="157">
        <v>205</v>
      </c>
      <c r="L7" s="157">
        <v>284</v>
      </c>
      <c r="M7" s="185">
        <v>368</v>
      </c>
      <c r="N7" s="186">
        <v>281</v>
      </c>
      <c r="O7" s="186">
        <v>178</v>
      </c>
      <c r="P7" s="186">
        <v>125</v>
      </c>
      <c r="Q7" s="186">
        <v>559</v>
      </c>
      <c r="R7" s="186">
        <v>662</v>
      </c>
      <c r="S7" s="186">
        <v>578</v>
      </c>
      <c r="T7" s="186">
        <v>17</v>
      </c>
      <c r="U7" s="186">
        <v>5</v>
      </c>
      <c r="V7" s="186">
        <v>14</v>
      </c>
      <c r="W7" s="146">
        <f t="shared" si="1"/>
        <v>2506</v>
      </c>
      <c r="X7" s="146">
        <f t="shared" si="0"/>
        <v>1885</v>
      </c>
      <c r="Y7" s="147">
        <f t="shared" si="0"/>
        <v>1679</v>
      </c>
    </row>
    <row r="8" spans="1:29" s="12" customFormat="1" ht="14.25" customHeight="1" thickTop="1" thickBot="1" x14ac:dyDescent="0.25">
      <c r="A8" s="25" t="s">
        <v>246</v>
      </c>
      <c r="B8" s="157">
        <v>2057</v>
      </c>
      <c r="C8" s="157">
        <v>2307</v>
      </c>
      <c r="D8" s="157">
        <v>2625</v>
      </c>
      <c r="E8" s="157">
        <v>1211</v>
      </c>
      <c r="F8" s="157">
        <v>1548</v>
      </c>
      <c r="G8" s="157">
        <v>1538</v>
      </c>
      <c r="H8" s="157">
        <v>500</v>
      </c>
      <c r="I8" s="157">
        <v>834</v>
      </c>
      <c r="J8" s="157">
        <v>843</v>
      </c>
      <c r="K8" s="157">
        <v>229</v>
      </c>
      <c r="L8" s="157">
        <v>269</v>
      </c>
      <c r="M8" s="185">
        <v>318</v>
      </c>
      <c r="N8" s="186">
        <v>232</v>
      </c>
      <c r="O8" s="186">
        <v>185</v>
      </c>
      <c r="P8" s="186">
        <v>166</v>
      </c>
      <c r="Q8" s="186">
        <v>206</v>
      </c>
      <c r="R8" s="186">
        <v>362</v>
      </c>
      <c r="S8" s="186">
        <v>357</v>
      </c>
      <c r="T8" s="186">
        <v>16</v>
      </c>
      <c r="U8" s="186">
        <v>15</v>
      </c>
      <c r="V8" s="186">
        <v>31</v>
      </c>
      <c r="W8" s="146">
        <f t="shared" si="1"/>
        <v>4451</v>
      </c>
      <c r="X8" s="146">
        <f t="shared" si="0"/>
        <v>5520</v>
      </c>
      <c r="Y8" s="147">
        <f t="shared" si="0"/>
        <v>5878</v>
      </c>
      <c r="AA8" s="209"/>
      <c r="AB8" s="209"/>
      <c r="AC8" s="209"/>
    </row>
    <row r="9" spans="1:29" s="12" customFormat="1" ht="14.25" customHeight="1" thickTop="1" thickBot="1" x14ac:dyDescent="0.25">
      <c r="A9" s="25" t="s">
        <v>247</v>
      </c>
      <c r="B9" s="157">
        <v>1007</v>
      </c>
      <c r="C9" s="157">
        <v>1360</v>
      </c>
      <c r="D9" s="157">
        <v>1510</v>
      </c>
      <c r="E9" s="157">
        <v>405</v>
      </c>
      <c r="F9" s="157">
        <v>691</v>
      </c>
      <c r="G9" s="157">
        <v>855</v>
      </c>
      <c r="H9" s="157">
        <v>483</v>
      </c>
      <c r="I9" s="157">
        <v>346</v>
      </c>
      <c r="J9" s="157">
        <v>318</v>
      </c>
      <c r="K9" s="157">
        <v>472</v>
      </c>
      <c r="L9" s="157">
        <v>531</v>
      </c>
      <c r="M9" s="185">
        <v>497</v>
      </c>
      <c r="N9" s="186">
        <v>420</v>
      </c>
      <c r="O9" s="186">
        <v>534</v>
      </c>
      <c r="P9" s="186">
        <v>464</v>
      </c>
      <c r="Q9" s="186">
        <v>285</v>
      </c>
      <c r="R9" s="186">
        <v>451</v>
      </c>
      <c r="S9" s="186">
        <v>569</v>
      </c>
      <c r="T9" s="186">
        <v>15</v>
      </c>
      <c r="U9" s="186">
        <v>9</v>
      </c>
      <c r="V9" s="186">
        <v>25</v>
      </c>
      <c r="W9" s="146">
        <f t="shared" si="1"/>
        <v>3087</v>
      </c>
      <c r="X9" s="146">
        <f t="shared" si="0"/>
        <v>3922</v>
      </c>
      <c r="Y9" s="147">
        <f t="shared" si="0"/>
        <v>4238</v>
      </c>
      <c r="AC9" s="210"/>
    </row>
    <row r="10" spans="1:29" s="12" customFormat="1" ht="14.25" customHeight="1" thickTop="1" thickBot="1" x14ac:dyDescent="0.25">
      <c r="A10" s="25" t="s">
        <v>81</v>
      </c>
      <c r="B10" s="157">
        <v>207</v>
      </c>
      <c r="C10" s="157">
        <v>450</v>
      </c>
      <c r="D10" s="157">
        <v>487</v>
      </c>
      <c r="E10" s="157">
        <v>57</v>
      </c>
      <c r="F10" s="157">
        <v>45</v>
      </c>
      <c r="G10" s="157">
        <v>53</v>
      </c>
      <c r="H10" s="13">
        <v>11</v>
      </c>
      <c r="I10" s="13">
        <v>26</v>
      </c>
      <c r="J10" s="13">
        <v>14</v>
      </c>
      <c r="K10" s="13">
        <v>14</v>
      </c>
      <c r="L10" s="13">
        <v>3</v>
      </c>
      <c r="M10" s="52">
        <v>3</v>
      </c>
      <c r="N10" s="146">
        <v>3</v>
      </c>
      <c r="O10" s="146">
        <v>9</v>
      </c>
      <c r="P10" s="146">
        <v>18</v>
      </c>
      <c r="Q10" s="146">
        <v>5</v>
      </c>
      <c r="R10" s="146">
        <v>4</v>
      </c>
      <c r="S10" s="146">
        <v>6</v>
      </c>
      <c r="T10" s="186">
        <v>2134</v>
      </c>
      <c r="U10" s="186">
        <v>2792</v>
      </c>
      <c r="V10" s="186">
        <v>3120</v>
      </c>
      <c r="W10" s="146">
        <f t="shared" si="1"/>
        <v>2431</v>
      </c>
      <c r="X10" s="146">
        <f t="shared" si="0"/>
        <v>3329</v>
      </c>
      <c r="Y10" s="147">
        <f t="shared" si="0"/>
        <v>3701</v>
      </c>
      <c r="AC10" s="210"/>
    </row>
    <row r="11" spans="1:29" s="12" customFormat="1" ht="14.25" customHeight="1" thickTop="1" thickBot="1" x14ac:dyDescent="0.25">
      <c r="A11" s="25" t="s">
        <v>248</v>
      </c>
      <c r="B11" s="157">
        <v>55</v>
      </c>
      <c r="C11" s="157">
        <v>49</v>
      </c>
      <c r="D11" s="157">
        <v>62</v>
      </c>
      <c r="E11" s="157">
        <v>54</v>
      </c>
      <c r="F11" s="157">
        <v>37</v>
      </c>
      <c r="G11" s="157">
        <v>46</v>
      </c>
      <c r="H11" s="157">
        <v>144</v>
      </c>
      <c r="I11" s="157">
        <v>48</v>
      </c>
      <c r="J11" s="157">
        <v>41</v>
      </c>
      <c r="K11" s="157">
        <v>76</v>
      </c>
      <c r="L11" s="157">
        <v>82</v>
      </c>
      <c r="M11" s="185">
        <v>87</v>
      </c>
      <c r="N11" s="186">
        <v>18</v>
      </c>
      <c r="O11" s="186">
        <v>42</v>
      </c>
      <c r="P11" s="186">
        <v>33</v>
      </c>
      <c r="Q11" s="186">
        <v>0</v>
      </c>
      <c r="R11" s="186">
        <v>18</v>
      </c>
      <c r="S11" s="186">
        <v>18</v>
      </c>
      <c r="T11" s="186">
        <v>0</v>
      </c>
      <c r="U11" s="186">
        <v>1</v>
      </c>
      <c r="V11" s="186">
        <v>4</v>
      </c>
      <c r="W11" s="146">
        <f t="shared" si="1"/>
        <v>347</v>
      </c>
      <c r="X11" s="146">
        <f t="shared" si="0"/>
        <v>277</v>
      </c>
      <c r="Y11" s="147">
        <f t="shared" si="0"/>
        <v>291</v>
      </c>
    </row>
    <row r="12" spans="1:29" s="12" customFormat="1" ht="14.25" customHeight="1" thickTop="1" thickBot="1" x14ac:dyDescent="0.25">
      <c r="A12" s="25" t="s">
        <v>249</v>
      </c>
      <c r="B12" s="157">
        <v>22</v>
      </c>
      <c r="C12" s="157">
        <v>11</v>
      </c>
      <c r="D12" s="157">
        <v>18</v>
      </c>
      <c r="E12" s="157">
        <v>10</v>
      </c>
      <c r="F12" s="157">
        <v>13</v>
      </c>
      <c r="G12" s="157">
        <v>10</v>
      </c>
      <c r="H12" s="157">
        <v>8</v>
      </c>
      <c r="I12" s="157">
        <v>11</v>
      </c>
      <c r="J12" s="157">
        <v>7</v>
      </c>
      <c r="K12" s="157">
        <v>3</v>
      </c>
      <c r="L12" s="157">
        <v>2</v>
      </c>
      <c r="M12" s="185">
        <v>4</v>
      </c>
      <c r="N12" s="186">
        <v>2</v>
      </c>
      <c r="O12" s="186">
        <v>2</v>
      </c>
      <c r="P12" s="186">
        <v>2</v>
      </c>
      <c r="Q12" s="186">
        <v>1</v>
      </c>
      <c r="R12" s="186">
        <v>1</v>
      </c>
      <c r="S12" s="186">
        <v>2</v>
      </c>
      <c r="T12" s="186">
        <v>1</v>
      </c>
      <c r="U12" s="186">
        <v>1</v>
      </c>
      <c r="V12" s="186">
        <v>0</v>
      </c>
      <c r="W12" s="146">
        <f t="shared" si="1"/>
        <v>47</v>
      </c>
      <c r="X12" s="146">
        <f t="shared" si="0"/>
        <v>41</v>
      </c>
      <c r="Y12" s="147">
        <f t="shared" si="0"/>
        <v>43</v>
      </c>
    </row>
    <row r="13" spans="1:29" s="12" customFormat="1" ht="14.25" customHeight="1" thickTop="1" thickBot="1" x14ac:dyDescent="0.25">
      <c r="A13" s="25" t="s">
        <v>250</v>
      </c>
      <c r="B13" s="157">
        <v>55</v>
      </c>
      <c r="C13" s="157">
        <v>68</v>
      </c>
      <c r="D13" s="157">
        <v>53</v>
      </c>
      <c r="E13" s="157">
        <v>20</v>
      </c>
      <c r="F13" s="157">
        <v>23</v>
      </c>
      <c r="G13" s="157">
        <v>33</v>
      </c>
      <c r="H13" s="157">
        <v>20</v>
      </c>
      <c r="I13" s="157">
        <v>15</v>
      </c>
      <c r="J13" s="157">
        <v>20</v>
      </c>
      <c r="K13" s="157">
        <v>35</v>
      </c>
      <c r="L13" s="157">
        <v>20</v>
      </c>
      <c r="M13" s="185">
        <v>9</v>
      </c>
      <c r="N13" s="186">
        <v>22</v>
      </c>
      <c r="O13" s="186">
        <v>15</v>
      </c>
      <c r="P13" s="186">
        <v>19</v>
      </c>
      <c r="Q13" s="186">
        <v>60</v>
      </c>
      <c r="R13" s="186">
        <v>53</v>
      </c>
      <c r="S13" s="186">
        <v>82</v>
      </c>
      <c r="T13" s="186">
        <v>4</v>
      </c>
      <c r="U13" s="186">
        <v>1</v>
      </c>
      <c r="V13" s="186">
        <v>23</v>
      </c>
      <c r="W13" s="146">
        <f t="shared" si="1"/>
        <v>216</v>
      </c>
      <c r="X13" s="146">
        <f t="shared" si="0"/>
        <v>195</v>
      </c>
      <c r="Y13" s="147">
        <f t="shared" si="0"/>
        <v>239</v>
      </c>
    </row>
    <row r="14" spans="1:29" s="12" customFormat="1" ht="14.25" customHeight="1" thickTop="1" x14ac:dyDescent="0.2">
      <c r="A14" s="25" t="s">
        <v>251</v>
      </c>
      <c r="B14" s="157">
        <v>48</v>
      </c>
      <c r="C14" s="157">
        <v>30</v>
      </c>
      <c r="D14" s="157">
        <v>15</v>
      </c>
      <c r="E14" s="157">
        <v>8</v>
      </c>
      <c r="F14" s="157">
        <v>6</v>
      </c>
      <c r="G14" s="157">
        <v>4</v>
      </c>
      <c r="H14" s="157">
        <v>2</v>
      </c>
      <c r="I14" s="157">
        <v>4</v>
      </c>
      <c r="J14" s="157">
        <v>8</v>
      </c>
      <c r="K14" s="13">
        <v>3</v>
      </c>
      <c r="L14" s="13">
        <v>4</v>
      </c>
      <c r="M14" s="52">
        <v>4</v>
      </c>
      <c r="N14" s="148">
        <v>3</v>
      </c>
      <c r="O14" s="148">
        <v>3</v>
      </c>
      <c r="P14" s="148">
        <v>1</v>
      </c>
      <c r="Q14" s="148">
        <v>2</v>
      </c>
      <c r="R14" s="148">
        <v>4</v>
      </c>
      <c r="S14" s="148">
        <v>1</v>
      </c>
      <c r="T14" s="187">
        <v>277</v>
      </c>
      <c r="U14" s="187">
        <v>347</v>
      </c>
      <c r="V14" s="187">
        <v>412</v>
      </c>
      <c r="W14" s="148">
        <f t="shared" si="1"/>
        <v>343</v>
      </c>
      <c r="X14" s="148">
        <f t="shared" si="0"/>
        <v>398</v>
      </c>
      <c r="Y14" s="149">
        <f t="shared" si="0"/>
        <v>445</v>
      </c>
    </row>
    <row r="15" spans="1:29" s="51" customFormat="1" ht="14.25" customHeight="1" thickBot="1" x14ac:dyDescent="0.25">
      <c r="A15" s="27" t="s">
        <v>209</v>
      </c>
      <c r="B15" s="23">
        <f>SUM(B5:B14)</f>
        <v>12203</v>
      </c>
      <c r="C15" s="16">
        <f t="shared" ref="C15:Y15" si="2">SUM(C5:C14)</f>
        <v>10678</v>
      </c>
      <c r="D15" s="53">
        <f t="shared" si="2"/>
        <v>11520</v>
      </c>
      <c r="E15" s="16">
        <f t="shared" si="2"/>
        <v>9490</v>
      </c>
      <c r="F15" s="16">
        <f t="shared" si="2"/>
        <v>11074</v>
      </c>
      <c r="G15" s="16">
        <f t="shared" si="2"/>
        <v>12042</v>
      </c>
      <c r="H15" s="23">
        <f t="shared" si="2"/>
        <v>11338</v>
      </c>
      <c r="I15" s="16">
        <f t="shared" si="2"/>
        <v>8344</v>
      </c>
      <c r="J15" s="53">
        <f t="shared" si="2"/>
        <v>8077</v>
      </c>
      <c r="K15" s="16">
        <f t="shared" si="2"/>
        <v>11319</v>
      </c>
      <c r="L15" s="16">
        <f t="shared" si="2"/>
        <v>9437</v>
      </c>
      <c r="M15" s="16">
        <f t="shared" si="2"/>
        <v>9238</v>
      </c>
      <c r="N15" s="23">
        <f t="shared" si="2"/>
        <v>8847</v>
      </c>
      <c r="O15" s="16">
        <f t="shared" si="2"/>
        <v>9137</v>
      </c>
      <c r="P15" s="53">
        <f t="shared" si="2"/>
        <v>8693</v>
      </c>
      <c r="Q15" s="16">
        <f t="shared" si="2"/>
        <v>4600</v>
      </c>
      <c r="R15" s="16">
        <f t="shared" si="2"/>
        <v>7589</v>
      </c>
      <c r="S15" s="16">
        <f t="shared" si="2"/>
        <v>8770</v>
      </c>
      <c r="T15" s="54">
        <f t="shared" ref="T15:V15" si="3">SUM(T5:T14)</f>
        <v>2975</v>
      </c>
      <c r="U15" s="16">
        <f t="shared" si="3"/>
        <v>3441</v>
      </c>
      <c r="V15" s="55">
        <f t="shared" si="3"/>
        <v>3918</v>
      </c>
      <c r="W15" s="16">
        <f t="shared" si="2"/>
        <v>60772</v>
      </c>
      <c r="X15" s="16">
        <f t="shared" si="2"/>
        <v>59700</v>
      </c>
      <c r="Y15" s="16">
        <f t="shared" si="2"/>
        <v>62258</v>
      </c>
    </row>
    <row r="16" spans="1:29" s="12" customFormat="1" ht="12" customHeight="1" x14ac:dyDescent="0.2">
      <c r="A16" s="48" t="s">
        <v>365</v>
      </c>
      <c r="Y16" s="209"/>
    </row>
    <row r="17" spans="1:25" s="12" customFormat="1" ht="12" customHeight="1" x14ac:dyDescent="0.2">
      <c r="Y17" s="210"/>
    </row>
    <row r="18" spans="1:25" s="12" customFormat="1" ht="12" customHeight="1" thickBot="1" x14ac:dyDescent="0.25"/>
    <row r="19" spans="1:25" s="12" customFormat="1" ht="12" customHeight="1" x14ac:dyDescent="0.2">
      <c r="A19" s="213" t="s">
        <v>242</v>
      </c>
      <c r="B19" s="215" t="s">
        <v>243</v>
      </c>
      <c r="C19" s="216"/>
      <c r="D19" s="217"/>
      <c r="E19" s="216" t="s">
        <v>244</v>
      </c>
      <c r="F19" s="216"/>
      <c r="G19" s="216"/>
      <c r="H19" s="215" t="s">
        <v>245</v>
      </c>
      <c r="I19" s="216"/>
      <c r="J19" s="217"/>
      <c r="K19" s="216" t="s">
        <v>300</v>
      </c>
      <c r="L19" s="216"/>
      <c r="M19" s="216"/>
      <c r="N19" s="230" t="s">
        <v>303</v>
      </c>
      <c r="O19" s="216"/>
      <c r="P19" s="231"/>
      <c r="Q19" s="216" t="s">
        <v>301</v>
      </c>
      <c r="R19" s="216"/>
      <c r="S19" s="216"/>
      <c r="T19" s="215" t="s">
        <v>70</v>
      </c>
      <c r="U19" s="216"/>
      <c r="V19" s="216"/>
      <c r="W19" s="215" t="s">
        <v>209</v>
      </c>
      <c r="X19" s="216"/>
      <c r="Y19" s="216"/>
    </row>
    <row r="20" spans="1:25" s="12" customFormat="1" ht="24.9" customHeight="1" x14ac:dyDescent="0.2">
      <c r="A20" s="214"/>
      <c r="B20" s="64" t="s">
        <v>334</v>
      </c>
      <c r="C20" s="65" t="s">
        <v>353</v>
      </c>
      <c r="D20" s="66" t="s">
        <v>352</v>
      </c>
      <c r="E20" s="64" t="s">
        <v>334</v>
      </c>
      <c r="F20" s="65" t="s">
        <v>353</v>
      </c>
      <c r="G20" s="66" t="s">
        <v>352</v>
      </c>
      <c r="H20" s="64" t="s">
        <v>334</v>
      </c>
      <c r="I20" s="65" t="s">
        <v>353</v>
      </c>
      <c r="J20" s="66" t="s">
        <v>352</v>
      </c>
      <c r="K20" s="64" t="s">
        <v>334</v>
      </c>
      <c r="L20" s="65" t="s">
        <v>353</v>
      </c>
      <c r="M20" s="66" t="s">
        <v>352</v>
      </c>
      <c r="N20" s="64" t="s">
        <v>334</v>
      </c>
      <c r="O20" s="65" t="s">
        <v>353</v>
      </c>
      <c r="P20" s="66" t="s">
        <v>352</v>
      </c>
      <c r="Q20" s="64" t="s">
        <v>334</v>
      </c>
      <c r="R20" s="65" t="s">
        <v>353</v>
      </c>
      <c r="S20" s="66" t="s">
        <v>352</v>
      </c>
      <c r="T20" s="64" t="s">
        <v>334</v>
      </c>
      <c r="U20" s="65" t="s">
        <v>353</v>
      </c>
      <c r="V20" s="66" t="s">
        <v>352</v>
      </c>
      <c r="W20" s="64" t="s">
        <v>334</v>
      </c>
      <c r="X20" s="65" t="s">
        <v>353</v>
      </c>
      <c r="Y20" s="66" t="s">
        <v>352</v>
      </c>
    </row>
    <row r="21" spans="1:25" s="12" customFormat="1" ht="12.75" customHeight="1" x14ac:dyDescent="0.2">
      <c r="A21" s="25" t="s">
        <v>304</v>
      </c>
      <c r="B21" s="136">
        <f>C5/B5-1</f>
        <v>-0.28004520909205077</v>
      </c>
      <c r="C21" s="81">
        <f>D5/B5-1</f>
        <v>-0.23797563732261706</v>
      </c>
      <c r="D21" s="80">
        <f>D5/C5-1</f>
        <v>5.8433629862201242E-2</v>
      </c>
      <c r="E21" s="81">
        <f>F5/E5-1</f>
        <v>0.14182692307692313</v>
      </c>
      <c r="F21" s="81">
        <f>G5/E5-1</f>
        <v>0.247878959276018</v>
      </c>
      <c r="G21" s="81">
        <f>G5/F5-1</f>
        <v>9.2879256965944235E-2</v>
      </c>
      <c r="H21" s="136">
        <f>I5/H5-1</f>
        <v>-0.27660277594183746</v>
      </c>
      <c r="I21" s="81">
        <f>J5/H5-1</f>
        <v>-0.29554968054637587</v>
      </c>
      <c r="J21" s="80">
        <f>J5/I5-1</f>
        <v>-2.6191563880006097E-2</v>
      </c>
      <c r="K21" s="81">
        <f>L5/K5-1</f>
        <v>-0.20230923694779113</v>
      </c>
      <c r="L21" s="81">
        <f>M5/K5-1</f>
        <v>-0.22891566265060237</v>
      </c>
      <c r="M21" s="81">
        <f>M5/L5-1</f>
        <v>-3.3354310887350525E-2</v>
      </c>
      <c r="N21" s="137">
        <f>O5/N5-1</f>
        <v>4.430297518513715E-2</v>
      </c>
      <c r="O21" s="81">
        <f>P5/N5-1</f>
        <v>3.8976224503062262E-4</v>
      </c>
      <c r="P21" s="138">
        <f>P5/O5-1</f>
        <v>-4.2050261259019672E-2</v>
      </c>
      <c r="Q21" s="81">
        <f>R5/Q5-1</f>
        <v>0.73914319248826299</v>
      </c>
      <c r="R21" s="81">
        <f>S5/Q5-1</f>
        <v>1.0666079812206575</v>
      </c>
      <c r="S21" s="81">
        <f>S5/R5-1</f>
        <v>0.18829087227939945</v>
      </c>
      <c r="T21" s="81">
        <f>U5/T5-1</f>
        <v>-0.47433264887063653</v>
      </c>
      <c r="U21" s="81">
        <f>V5/T5-1</f>
        <v>-0.41683778234086244</v>
      </c>
      <c r="V21" s="81">
        <f>V5/U5-1</f>
        <v>0.109375</v>
      </c>
      <c r="W21" s="81">
        <f>X5/W5-1</f>
        <v>-6.8411255885251321E-2</v>
      </c>
      <c r="X21" s="81">
        <f>Y5/W5-1</f>
        <v>-3.65706777619621E-2</v>
      </c>
      <c r="Y21" s="81">
        <f>Y5/X5-1</f>
        <v>3.4178792223972243E-2</v>
      </c>
    </row>
    <row r="22" spans="1:25" s="12" customFormat="1" ht="12.75" customHeight="1" x14ac:dyDescent="0.2">
      <c r="A22" s="25" t="s">
        <v>305</v>
      </c>
      <c r="B22" s="82">
        <f t="shared" ref="B22:B31" si="4">C6/B6-1</f>
        <v>0.23384615384615381</v>
      </c>
      <c r="C22" s="15">
        <f t="shared" ref="C22:C31" si="5">D6/B6-1</f>
        <v>0.37538461538461543</v>
      </c>
      <c r="D22" s="22">
        <f t="shared" ref="D22:D31" si="6">D6/C6-1</f>
        <v>0.11471321695760595</v>
      </c>
      <c r="E22" s="15">
        <f t="shared" ref="E22:E31" si="7">F6/E6-1</f>
        <v>1.7543859649122862E-2</v>
      </c>
      <c r="F22" s="15">
        <f t="shared" ref="F22:F31" si="8">G6/E6-1</f>
        <v>0.29824561403508776</v>
      </c>
      <c r="G22" s="15">
        <f t="shared" ref="G22:G31" si="9">G6/F6-1</f>
        <v>0.27586206896551735</v>
      </c>
      <c r="H22" s="82">
        <f t="shared" ref="H22:H31" si="10">I6/H6-1</f>
        <v>-0.30496453900709219</v>
      </c>
      <c r="I22" s="15">
        <f t="shared" ref="I22:I31" si="11">J6/H6-1</f>
        <v>-0.27659574468085102</v>
      </c>
      <c r="J22" s="22">
        <f t="shared" ref="J22:J31" si="12">J6/I6-1</f>
        <v>4.081632653061229E-2</v>
      </c>
      <c r="K22" s="15">
        <f t="shared" ref="K22:K31" si="13">L6/K6-1</f>
        <v>-7.7639751552795011E-2</v>
      </c>
      <c r="L22" s="15">
        <f t="shared" ref="L22:L31" si="14">M6/K6-1</f>
        <v>-0.16770186335403725</v>
      </c>
      <c r="M22" s="15">
        <f t="shared" ref="M22:M31" si="15">M6/L6-1</f>
        <v>-9.7643097643097643E-2</v>
      </c>
      <c r="N22" s="83">
        <f t="shared" ref="N22:N31" si="16">O6/N6-1</f>
        <v>-0.2248520710059172</v>
      </c>
      <c r="O22" s="15">
        <f t="shared" ref="O22:O31" si="17">P6/N6-1</f>
        <v>-2.3668639053254448E-2</v>
      </c>
      <c r="P22" s="84">
        <f t="shared" ref="P22:P31" si="18">P6/O6-1</f>
        <v>0.25954198473282442</v>
      </c>
      <c r="Q22" s="15">
        <f t="shared" ref="Q22:Q31" si="19">R6/Q6-1</f>
        <v>0.44594594594594605</v>
      </c>
      <c r="R22" s="15">
        <f t="shared" ref="R22:R31" si="20">S6/Q6-1</f>
        <v>0.54054054054054057</v>
      </c>
      <c r="S22" s="15">
        <f t="shared" ref="S22:S31" si="21">S6/R6-1</f>
        <v>6.5420560747663448E-2</v>
      </c>
      <c r="T22" s="15">
        <f t="shared" ref="T22:T26" si="22">U6/T6-1</f>
        <v>-0.41666666666666663</v>
      </c>
      <c r="U22" s="15">
        <f t="shared" ref="U22:U26" si="23">V6/T6-1</f>
        <v>-0.79166666666666663</v>
      </c>
      <c r="V22" s="15">
        <f t="shared" ref="V22:V27" si="24">V6/U6-1</f>
        <v>-0.64285714285714279</v>
      </c>
      <c r="W22" s="15">
        <f t="shared" ref="W22:W31" si="25">X6/W6-1</f>
        <v>-5.1816557474687275E-2</v>
      </c>
      <c r="X22" s="15">
        <f t="shared" ref="X22:X31" si="26">Y6/W6-1</f>
        <v>4.1691483025610543E-2</v>
      </c>
      <c r="Y22" s="15">
        <f t="shared" ref="Y22:Y31" si="27">Y6/X6-1</f>
        <v>9.8618090452261331E-2</v>
      </c>
    </row>
    <row r="23" spans="1:25" s="12" customFormat="1" ht="12.75" customHeight="1" x14ac:dyDescent="0.2">
      <c r="A23" s="25" t="s">
        <v>91</v>
      </c>
      <c r="B23" s="82">
        <f t="shared" si="4"/>
        <v>-0.42025862068965514</v>
      </c>
      <c r="C23" s="15">
        <f t="shared" si="5"/>
        <v>-0.49353448275862066</v>
      </c>
      <c r="D23" s="22">
        <f t="shared" si="6"/>
        <v>-0.12639405204460963</v>
      </c>
      <c r="E23" s="15">
        <f t="shared" si="7"/>
        <v>-7.395498392282962E-2</v>
      </c>
      <c r="F23" s="15">
        <f t="shared" si="8"/>
        <v>-0.247588424437299</v>
      </c>
      <c r="G23" s="15">
        <f t="shared" si="9"/>
        <v>-0.1875</v>
      </c>
      <c r="H23" s="82">
        <f t="shared" si="10"/>
        <v>-0.70254110612855003</v>
      </c>
      <c r="I23" s="15">
        <f t="shared" si="11"/>
        <v>-0.8131539611360239</v>
      </c>
      <c r="J23" s="22">
        <f t="shared" si="12"/>
        <v>-0.37185929648241201</v>
      </c>
      <c r="K23" s="15">
        <f t="shared" si="13"/>
        <v>0.38536585365853648</v>
      </c>
      <c r="L23" s="15">
        <f t="shared" si="14"/>
        <v>0.79512195121951224</v>
      </c>
      <c r="M23" s="15">
        <f t="shared" si="15"/>
        <v>0.29577464788732399</v>
      </c>
      <c r="N23" s="83">
        <f t="shared" si="16"/>
        <v>-0.36654804270462638</v>
      </c>
      <c r="O23" s="15">
        <f t="shared" si="17"/>
        <v>-0.55516014234875444</v>
      </c>
      <c r="P23" s="84">
        <f t="shared" si="18"/>
        <v>-0.297752808988764</v>
      </c>
      <c r="Q23" s="15">
        <f t="shared" si="19"/>
        <v>0.18425760286225401</v>
      </c>
      <c r="R23" s="15">
        <f t="shared" si="20"/>
        <v>3.3989266547405972E-2</v>
      </c>
      <c r="S23" s="15">
        <f t="shared" si="21"/>
        <v>-0.12688821752265866</v>
      </c>
      <c r="T23" s="15">
        <f t="shared" si="22"/>
        <v>-0.70588235294117641</v>
      </c>
      <c r="U23" s="15">
        <f t="shared" si="23"/>
        <v>-0.17647058823529416</v>
      </c>
      <c r="V23" s="15">
        <f t="shared" si="24"/>
        <v>1.7999999999999998</v>
      </c>
      <c r="W23" s="15">
        <f t="shared" si="25"/>
        <v>-0.24780526735833996</v>
      </c>
      <c r="X23" s="15">
        <f t="shared" si="26"/>
        <v>-0.33000798084596972</v>
      </c>
      <c r="Y23" s="15">
        <f t="shared" si="27"/>
        <v>-0.10928381962864719</v>
      </c>
    </row>
    <row r="24" spans="1:25" s="12" customFormat="1" ht="12.75" customHeight="1" x14ac:dyDescent="0.2">
      <c r="A24" s="25" t="s">
        <v>246</v>
      </c>
      <c r="B24" s="82">
        <f t="shared" si="4"/>
        <v>0.12153621779290225</v>
      </c>
      <c r="C24" s="15">
        <f t="shared" si="5"/>
        <v>0.27613028682547403</v>
      </c>
      <c r="D24" s="22">
        <f t="shared" si="6"/>
        <v>0.13784135240572182</v>
      </c>
      <c r="E24" s="15">
        <f t="shared" si="7"/>
        <v>0.2782824112303881</v>
      </c>
      <c r="F24" s="15">
        <f t="shared" si="8"/>
        <v>0.27002477291494631</v>
      </c>
      <c r="G24" s="15">
        <f t="shared" si="9"/>
        <v>-6.4599483204134112E-3</v>
      </c>
      <c r="H24" s="82">
        <f t="shared" si="10"/>
        <v>0.66799999999999993</v>
      </c>
      <c r="I24" s="15">
        <f t="shared" si="11"/>
        <v>0.68599999999999994</v>
      </c>
      <c r="J24" s="22">
        <f t="shared" si="12"/>
        <v>1.0791366906474753E-2</v>
      </c>
      <c r="K24" s="15">
        <f t="shared" si="13"/>
        <v>0.1746724890829694</v>
      </c>
      <c r="L24" s="15">
        <f t="shared" si="14"/>
        <v>0.38864628820960689</v>
      </c>
      <c r="M24" s="15">
        <f t="shared" si="15"/>
        <v>0.18215613382899631</v>
      </c>
      <c r="N24" s="83">
        <f t="shared" si="16"/>
        <v>-0.20258620689655171</v>
      </c>
      <c r="O24" s="15">
        <f t="shared" si="17"/>
        <v>-0.28448275862068961</v>
      </c>
      <c r="P24" s="84">
        <f t="shared" si="18"/>
        <v>-0.10270270270270265</v>
      </c>
      <c r="Q24" s="15">
        <f t="shared" si="19"/>
        <v>0.75728155339805836</v>
      </c>
      <c r="R24" s="15">
        <f t="shared" si="20"/>
        <v>0.73300970873786397</v>
      </c>
      <c r="S24" s="15">
        <f t="shared" si="21"/>
        <v>-1.3812154696132617E-2</v>
      </c>
      <c r="T24" s="15">
        <f t="shared" si="22"/>
        <v>-6.25E-2</v>
      </c>
      <c r="U24" s="15">
        <f t="shared" si="23"/>
        <v>0.9375</v>
      </c>
      <c r="V24" s="15">
        <f t="shared" si="24"/>
        <v>1.0666666666666669</v>
      </c>
      <c r="W24" s="15">
        <f t="shared" si="25"/>
        <v>0.24017074814648387</v>
      </c>
      <c r="X24" s="15">
        <f t="shared" si="26"/>
        <v>0.32060211188496957</v>
      </c>
      <c r="Y24" s="15">
        <f t="shared" si="27"/>
        <v>6.4855072463768204E-2</v>
      </c>
    </row>
    <row r="25" spans="1:25" s="12" customFormat="1" ht="12.75" customHeight="1" x14ac:dyDescent="0.2">
      <c r="A25" s="25" t="s">
        <v>247</v>
      </c>
      <c r="B25" s="82">
        <f t="shared" si="4"/>
        <v>0.35054617676266142</v>
      </c>
      <c r="C25" s="15">
        <f t="shared" si="5"/>
        <v>0.49950347567030784</v>
      </c>
      <c r="D25" s="22">
        <f t="shared" si="6"/>
        <v>0.11029411764705888</v>
      </c>
      <c r="E25" s="15">
        <f t="shared" si="7"/>
        <v>0.70617283950617282</v>
      </c>
      <c r="F25" s="15">
        <f t="shared" si="8"/>
        <v>1.1111111111111112</v>
      </c>
      <c r="G25" s="15">
        <f t="shared" si="9"/>
        <v>0.23733719247467433</v>
      </c>
      <c r="H25" s="82">
        <f t="shared" si="10"/>
        <v>-0.28364389233954457</v>
      </c>
      <c r="I25" s="15">
        <f t="shared" si="11"/>
        <v>-0.34161490683229812</v>
      </c>
      <c r="J25" s="22">
        <f t="shared" si="12"/>
        <v>-8.0924855491329439E-2</v>
      </c>
      <c r="K25" s="15">
        <f t="shared" si="13"/>
        <v>0.125</v>
      </c>
      <c r="L25" s="15">
        <f t="shared" si="14"/>
        <v>5.2966101694915224E-2</v>
      </c>
      <c r="M25" s="15">
        <f t="shared" si="15"/>
        <v>-6.4030131826741998E-2</v>
      </c>
      <c r="N25" s="83">
        <f t="shared" si="16"/>
        <v>0.27142857142857135</v>
      </c>
      <c r="O25" s="15">
        <f t="shared" si="17"/>
        <v>0.10476190476190483</v>
      </c>
      <c r="P25" s="84">
        <f t="shared" si="18"/>
        <v>-0.13108614232209737</v>
      </c>
      <c r="Q25" s="15">
        <f t="shared" si="19"/>
        <v>0.58245614035087723</v>
      </c>
      <c r="R25" s="15">
        <f t="shared" si="20"/>
        <v>0.99649122807017543</v>
      </c>
      <c r="S25" s="15">
        <f t="shared" si="21"/>
        <v>0.26164079822616415</v>
      </c>
      <c r="T25" s="15">
        <f t="shared" si="22"/>
        <v>-0.4</v>
      </c>
      <c r="U25" s="15">
        <f t="shared" si="23"/>
        <v>0.66666666666666674</v>
      </c>
      <c r="V25" s="15">
        <f t="shared" si="24"/>
        <v>1.7777777777777777</v>
      </c>
      <c r="W25" s="15">
        <f t="shared" si="25"/>
        <v>0.27048914804016855</v>
      </c>
      <c r="X25" s="15">
        <f t="shared" si="26"/>
        <v>0.37285390346614844</v>
      </c>
      <c r="Y25" s="15">
        <f t="shared" si="27"/>
        <v>8.0571137174910712E-2</v>
      </c>
    </row>
    <row r="26" spans="1:25" s="12" customFormat="1" ht="12.75" customHeight="1" x14ac:dyDescent="0.2">
      <c r="A26" s="25" t="s">
        <v>81</v>
      </c>
      <c r="B26" s="82">
        <f t="shared" si="4"/>
        <v>1.1739130434782608</v>
      </c>
      <c r="C26" s="15">
        <f t="shared" si="5"/>
        <v>1.3526570048309177</v>
      </c>
      <c r="D26" s="22">
        <f t="shared" si="6"/>
        <v>8.2222222222222197E-2</v>
      </c>
      <c r="E26" s="15">
        <f t="shared" si="7"/>
        <v>-0.21052631578947367</v>
      </c>
      <c r="F26" s="15">
        <f t="shared" si="8"/>
        <v>-7.0175438596491224E-2</v>
      </c>
      <c r="G26" s="15">
        <f t="shared" si="9"/>
        <v>0.17777777777777781</v>
      </c>
      <c r="H26" s="82">
        <f t="shared" si="10"/>
        <v>1.3636363636363638</v>
      </c>
      <c r="I26" s="15">
        <f t="shared" si="11"/>
        <v>0.27272727272727271</v>
      </c>
      <c r="J26" s="22">
        <f t="shared" si="12"/>
        <v>-0.46153846153846156</v>
      </c>
      <c r="K26" s="15">
        <f t="shared" si="13"/>
        <v>-0.7857142857142857</v>
      </c>
      <c r="L26" s="15">
        <f t="shared" si="14"/>
        <v>-0.7857142857142857</v>
      </c>
      <c r="M26" s="15">
        <f t="shared" si="15"/>
        <v>0</v>
      </c>
      <c r="N26" s="83">
        <f t="shared" si="16"/>
        <v>2</v>
      </c>
      <c r="O26" s="15">
        <f t="shared" si="17"/>
        <v>5</v>
      </c>
      <c r="P26" s="84">
        <f t="shared" si="18"/>
        <v>1</v>
      </c>
      <c r="Q26" s="15">
        <f t="shared" si="19"/>
        <v>-0.19999999999999996</v>
      </c>
      <c r="R26" s="15">
        <f t="shared" si="20"/>
        <v>0.19999999999999996</v>
      </c>
      <c r="S26" s="15">
        <f t="shared" si="21"/>
        <v>0.5</v>
      </c>
      <c r="T26" s="15">
        <f t="shared" si="22"/>
        <v>0.3083411433926897</v>
      </c>
      <c r="U26" s="15">
        <f t="shared" si="23"/>
        <v>0.46204311152764754</v>
      </c>
      <c r="V26" s="15">
        <f t="shared" si="24"/>
        <v>0.11747851002865328</v>
      </c>
      <c r="W26" s="15">
        <f t="shared" si="25"/>
        <v>0.3693953105717811</v>
      </c>
      <c r="X26" s="15">
        <f t="shared" si="26"/>
        <v>0.52241875771287538</v>
      </c>
      <c r="Y26" s="15">
        <f t="shared" si="27"/>
        <v>0.11174526884950442</v>
      </c>
    </row>
    <row r="27" spans="1:25" s="12" customFormat="1" ht="12.75" customHeight="1" x14ac:dyDescent="0.2">
      <c r="A27" s="25" t="s">
        <v>248</v>
      </c>
      <c r="B27" s="82">
        <f t="shared" si="4"/>
        <v>-0.10909090909090913</v>
      </c>
      <c r="C27" s="15">
        <f t="shared" si="5"/>
        <v>0.1272727272727272</v>
      </c>
      <c r="D27" s="22">
        <f t="shared" si="6"/>
        <v>0.26530612244897966</v>
      </c>
      <c r="E27" s="15">
        <f t="shared" si="7"/>
        <v>-0.31481481481481477</v>
      </c>
      <c r="F27" s="15">
        <f t="shared" si="8"/>
        <v>-0.14814814814814814</v>
      </c>
      <c r="G27" s="15">
        <f t="shared" si="9"/>
        <v>0.2432432432432432</v>
      </c>
      <c r="H27" s="82">
        <f t="shared" si="10"/>
        <v>-0.66666666666666674</v>
      </c>
      <c r="I27" s="15">
        <f t="shared" si="11"/>
        <v>-0.71527777777777779</v>
      </c>
      <c r="J27" s="22">
        <f t="shared" si="12"/>
        <v>-0.14583333333333337</v>
      </c>
      <c r="K27" s="15">
        <f t="shared" si="13"/>
        <v>7.8947368421052655E-2</v>
      </c>
      <c r="L27" s="15">
        <f t="shared" si="14"/>
        <v>0.14473684210526305</v>
      </c>
      <c r="M27" s="15">
        <f t="shared" si="15"/>
        <v>6.0975609756097615E-2</v>
      </c>
      <c r="N27" s="83">
        <f t="shared" si="16"/>
        <v>1.3333333333333335</v>
      </c>
      <c r="O27" s="15">
        <f t="shared" si="17"/>
        <v>0.83333333333333326</v>
      </c>
      <c r="P27" s="84">
        <f t="shared" si="18"/>
        <v>-0.2142857142857143</v>
      </c>
      <c r="Q27" s="15" t="s">
        <v>62</v>
      </c>
      <c r="R27" s="15" t="s">
        <v>62</v>
      </c>
      <c r="S27" s="15">
        <f t="shared" ref="S27:S29" si="28">S11/R11-1</f>
        <v>0</v>
      </c>
      <c r="T27" s="15" t="s">
        <v>62</v>
      </c>
      <c r="U27" s="15" t="s">
        <v>62</v>
      </c>
      <c r="V27" s="15">
        <f t="shared" si="24"/>
        <v>3</v>
      </c>
      <c r="W27" s="15">
        <f t="shared" si="25"/>
        <v>-0.20172910662824206</v>
      </c>
      <c r="X27" s="15">
        <f t="shared" si="26"/>
        <v>-0.16138328530259372</v>
      </c>
      <c r="Y27" s="15">
        <f t="shared" si="27"/>
        <v>5.0541516245487417E-2</v>
      </c>
    </row>
    <row r="28" spans="1:25" s="12" customFormat="1" ht="12.75" customHeight="1" x14ac:dyDescent="0.2">
      <c r="A28" s="25" t="s">
        <v>249</v>
      </c>
      <c r="B28" s="82">
        <f t="shared" si="4"/>
        <v>-0.5</v>
      </c>
      <c r="C28" s="15">
        <f t="shared" si="5"/>
        <v>-0.18181818181818177</v>
      </c>
      <c r="D28" s="22">
        <f t="shared" si="6"/>
        <v>0.63636363636363646</v>
      </c>
      <c r="E28" s="15">
        <f t="shared" si="7"/>
        <v>0.30000000000000004</v>
      </c>
      <c r="F28" s="15">
        <f t="shared" si="8"/>
        <v>0</v>
      </c>
      <c r="G28" s="15">
        <f t="shared" si="9"/>
        <v>-0.23076923076923073</v>
      </c>
      <c r="H28" s="82">
        <f t="shared" si="10"/>
        <v>0.375</v>
      </c>
      <c r="I28" s="15">
        <f t="shared" si="11"/>
        <v>-0.125</v>
      </c>
      <c r="J28" s="22">
        <f t="shared" si="12"/>
        <v>-0.36363636363636365</v>
      </c>
      <c r="K28" s="15">
        <f t="shared" si="13"/>
        <v>-0.33333333333333337</v>
      </c>
      <c r="L28" s="15">
        <f t="shared" si="14"/>
        <v>0.33333333333333326</v>
      </c>
      <c r="M28" s="15">
        <f t="shared" si="15"/>
        <v>1</v>
      </c>
      <c r="N28" s="83">
        <f t="shared" si="16"/>
        <v>0</v>
      </c>
      <c r="O28" s="15">
        <f t="shared" si="17"/>
        <v>0</v>
      </c>
      <c r="P28" s="84" t="s">
        <v>62</v>
      </c>
      <c r="Q28" s="15">
        <f t="shared" si="19"/>
        <v>0</v>
      </c>
      <c r="R28" s="15">
        <f t="shared" ref="R28:R29" si="29">S12/Q12-1</f>
        <v>1</v>
      </c>
      <c r="S28" s="15">
        <f t="shared" si="28"/>
        <v>1</v>
      </c>
      <c r="T28" s="15">
        <f t="shared" ref="T28:T29" si="30">U12/T12-1</f>
        <v>0</v>
      </c>
      <c r="U28" s="15">
        <f t="shared" ref="U28:U29" si="31">V12/T12-1</f>
        <v>-1</v>
      </c>
      <c r="V28" s="15" t="s">
        <v>62</v>
      </c>
      <c r="W28" s="15">
        <f t="shared" si="25"/>
        <v>-0.12765957446808507</v>
      </c>
      <c r="X28" s="15">
        <f t="shared" si="26"/>
        <v>-8.5106382978723416E-2</v>
      </c>
      <c r="Y28" s="15">
        <f t="shared" si="27"/>
        <v>4.8780487804878092E-2</v>
      </c>
    </row>
    <row r="29" spans="1:25" s="12" customFormat="1" ht="12.75" customHeight="1" x14ac:dyDescent="0.2">
      <c r="A29" s="25" t="s">
        <v>250</v>
      </c>
      <c r="B29" s="82">
        <f t="shared" si="4"/>
        <v>0.23636363636363633</v>
      </c>
      <c r="C29" s="15">
        <f t="shared" si="5"/>
        <v>-3.6363636363636376E-2</v>
      </c>
      <c r="D29" s="22">
        <f t="shared" si="6"/>
        <v>-0.22058823529411764</v>
      </c>
      <c r="E29" s="15">
        <f t="shared" si="7"/>
        <v>0.14999999999999991</v>
      </c>
      <c r="F29" s="15">
        <f t="shared" si="8"/>
        <v>0.64999999999999991</v>
      </c>
      <c r="G29" s="15">
        <f t="shared" si="9"/>
        <v>0.43478260869565211</v>
      </c>
      <c r="H29" s="82">
        <f t="shared" si="10"/>
        <v>-0.25</v>
      </c>
      <c r="I29" s="15">
        <f t="shared" si="11"/>
        <v>0</v>
      </c>
      <c r="J29" s="22">
        <f t="shared" si="12"/>
        <v>0.33333333333333326</v>
      </c>
      <c r="K29" s="15">
        <f t="shared" si="13"/>
        <v>-0.4285714285714286</v>
      </c>
      <c r="L29" s="15">
        <f t="shared" si="14"/>
        <v>-0.74285714285714288</v>
      </c>
      <c r="M29" s="15">
        <f t="shared" si="15"/>
        <v>-0.55000000000000004</v>
      </c>
      <c r="N29" s="83">
        <f t="shared" si="16"/>
        <v>-0.31818181818181823</v>
      </c>
      <c r="O29" s="15">
        <f t="shared" si="17"/>
        <v>-0.13636363636363635</v>
      </c>
      <c r="P29" s="84">
        <f t="shared" si="18"/>
        <v>0.26666666666666661</v>
      </c>
      <c r="Q29" s="15">
        <f t="shared" ref="Q29" si="32">R13/Q13-1</f>
        <v>-0.1166666666666667</v>
      </c>
      <c r="R29" s="15">
        <f t="shared" si="29"/>
        <v>0.3666666666666667</v>
      </c>
      <c r="S29" s="15">
        <f t="shared" si="28"/>
        <v>0.54716981132075482</v>
      </c>
      <c r="T29" s="15">
        <f t="shared" si="30"/>
        <v>-0.75</v>
      </c>
      <c r="U29" s="15">
        <f t="shared" si="31"/>
        <v>4.75</v>
      </c>
      <c r="V29" s="15">
        <f t="shared" ref="V29" si="33">V13/U13-1</f>
        <v>22</v>
      </c>
      <c r="W29" s="15">
        <f t="shared" si="25"/>
        <v>-9.722222222222221E-2</v>
      </c>
      <c r="X29" s="15">
        <f t="shared" si="26"/>
        <v>0.1064814814814814</v>
      </c>
      <c r="Y29" s="15">
        <f t="shared" si="27"/>
        <v>0.22564102564102573</v>
      </c>
    </row>
    <row r="30" spans="1:25" ht="12.75" customHeight="1" x14ac:dyDescent="0.25">
      <c r="A30" s="25" t="s">
        <v>251</v>
      </c>
      <c r="B30" s="82">
        <f t="shared" si="4"/>
        <v>-0.375</v>
      </c>
      <c r="C30" s="15">
        <f t="shared" si="5"/>
        <v>-0.6875</v>
      </c>
      <c r="D30" s="22">
        <f t="shared" si="6"/>
        <v>-0.5</v>
      </c>
      <c r="E30" s="15">
        <f t="shared" si="7"/>
        <v>-0.25</v>
      </c>
      <c r="F30" s="15">
        <f t="shared" si="8"/>
        <v>-0.5</v>
      </c>
      <c r="G30" s="15">
        <f t="shared" si="9"/>
        <v>-0.33333333333333337</v>
      </c>
      <c r="H30" s="82">
        <f t="shared" si="10"/>
        <v>1</v>
      </c>
      <c r="I30" s="15">
        <f t="shared" si="11"/>
        <v>3</v>
      </c>
      <c r="J30" s="22">
        <f t="shared" si="12"/>
        <v>1</v>
      </c>
      <c r="K30" s="15">
        <f t="shared" si="13"/>
        <v>0.33333333333333326</v>
      </c>
      <c r="L30" s="15">
        <f t="shared" si="14"/>
        <v>0.33333333333333326</v>
      </c>
      <c r="M30" s="15">
        <f t="shared" si="15"/>
        <v>0</v>
      </c>
      <c r="N30" s="83">
        <f t="shared" si="16"/>
        <v>0</v>
      </c>
      <c r="O30" s="15">
        <f t="shared" si="17"/>
        <v>-0.66666666666666674</v>
      </c>
      <c r="P30" s="84">
        <f t="shared" si="18"/>
        <v>-0.66666666666666674</v>
      </c>
      <c r="Q30" s="15">
        <f t="shared" si="19"/>
        <v>1</v>
      </c>
      <c r="R30" s="15">
        <f t="shared" si="20"/>
        <v>-0.5</v>
      </c>
      <c r="S30" s="15">
        <f t="shared" si="21"/>
        <v>-0.75</v>
      </c>
      <c r="T30" s="15">
        <f t="shared" ref="T30:T31" si="34">U14/T14-1</f>
        <v>0.25270758122743686</v>
      </c>
      <c r="U30" s="15">
        <f t="shared" ref="U30:U31" si="35">V14/T14-1</f>
        <v>0.4873646209386282</v>
      </c>
      <c r="V30" s="15">
        <f t="shared" ref="V30:V31" si="36">V14/U14-1</f>
        <v>0.18731988472622474</v>
      </c>
      <c r="W30" s="15">
        <f t="shared" si="25"/>
        <v>0.16034985422740533</v>
      </c>
      <c r="X30" s="15">
        <f t="shared" si="26"/>
        <v>0.29737609329446069</v>
      </c>
      <c r="Y30" s="15">
        <f t="shared" si="27"/>
        <v>0.11809045226130643</v>
      </c>
    </row>
    <row r="31" spans="1:25" ht="12.75" customHeight="1" thickBot="1" x14ac:dyDescent="0.3">
      <c r="A31" s="27" t="s">
        <v>209</v>
      </c>
      <c r="B31" s="85">
        <f t="shared" si="4"/>
        <v>-0.12496926985167578</v>
      </c>
      <c r="C31" s="17">
        <f t="shared" si="5"/>
        <v>-5.5969843481111226E-2</v>
      </c>
      <c r="D31" s="24">
        <f t="shared" si="6"/>
        <v>7.885371792470508E-2</v>
      </c>
      <c r="E31" s="17">
        <f t="shared" si="7"/>
        <v>0.16691253951527929</v>
      </c>
      <c r="F31" s="17">
        <f t="shared" si="8"/>
        <v>0.26891464699683887</v>
      </c>
      <c r="G31" s="17">
        <f t="shared" si="9"/>
        <v>8.7411955932815699E-2</v>
      </c>
      <c r="H31" s="85">
        <f t="shared" si="10"/>
        <v>-0.264067736814253</v>
      </c>
      <c r="I31" s="17">
        <f t="shared" si="11"/>
        <v>-0.28761686364438177</v>
      </c>
      <c r="J31" s="24">
        <f t="shared" si="12"/>
        <v>-3.1999041227229186E-2</v>
      </c>
      <c r="K31" s="85">
        <f t="shared" si="13"/>
        <v>-0.16626910504461523</v>
      </c>
      <c r="L31" s="17">
        <f t="shared" si="14"/>
        <v>-0.18385016344200023</v>
      </c>
      <c r="M31" s="24">
        <f t="shared" si="15"/>
        <v>-2.1087209918406291E-2</v>
      </c>
      <c r="N31" s="85">
        <f t="shared" si="16"/>
        <v>3.2779473267774417E-2</v>
      </c>
      <c r="O31" s="17">
        <f t="shared" si="17"/>
        <v>-1.740703063185256E-2</v>
      </c>
      <c r="P31" s="24">
        <f t="shared" si="18"/>
        <v>-4.8593630294407331E-2</v>
      </c>
      <c r="Q31" s="85">
        <f t="shared" si="19"/>
        <v>0.64978260869565219</v>
      </c>
      <c r="R31" s="17">
        <f t="shared" si="20"/>
        <v>0.90652173913043477</v>
      </c>
      <c r="S31" s="24">
        <f t="shared" si="21"/>
        <v>0.15561997628146007</v>
      </c>
      <c r="T31" s="85">
        <f t="shared" si="34"/>
        <v>0.15663865546218481</v>
      </c>
      <c r="U31" s="17">
        <f t="shared" si="35"/>
        <v>0.31697478991596628</v>
      </c>
      <c r="V31" s="24">
        <f t="shared" si="36"/>
        <v>0.13862249346120303</v>
      </c>
      <c r="W31" s="85">
        <f t="shared" si="25"/>
        <v>-1.763970249456992E-2</v>
      </c>
      <c r="X31" s="17">
        <f t="shared" si="26"/>
        <v>2.445205028631614E-2</v>
      </c>
      <c r="Y31" s="24">
        <f t="shared" si="27"/>
        <v>4.2847571189279732E-2</v>
      </c>
    </row>
    <row r="32" spans="1:25" ht="12" customHeight="1" x14ac:dyDescent="0.25">
      <c r="A32" s="48" t="s">
        <v>365</v>
      </c>
    </row>
    <row r="33" ht="12" customHeight="1" x14ac:dyDescent="0.25"/>
  </sheetData>
  <mergeCells count="18">
    <mergeCell ref="W3:Y3"/>
    <mergeCell ref="W19:Y19"/>
    <mergeCell ref="N3:P3"/>
    <mergeCell ref="Q3:S3"/>
    <mergeCell ref="N19:P19"/>
    <mergeCell ref="Q19:S19"/>
    <mergeCell ref="H3:J3"/>
    <mergeCell ref="K3:M3"/>
    <mergeCell ref="T3:V3"/>
    <mergeCell ref="T19:V19"/>
    <mergeCell ref="H19:J19"/>
    <mergeCell ref="K19:M19"/>
    <mergeCell ref="A19:A20"/>
    <mergeCell ref="B19:D19"/>
    <mergeCell ref="E19:G19"/>
    <mergeCell ref="A3:A4"/>
    <mergeCell ref="B3:D3"/>
    <mergeCell ref="E3:G3"/>
  </mergeCells>
  <pageMargins left="0.78740157480314965" right="0.78740157480314965" top="0.78740157480314965" bottom="0.78740157480314965" header="0" footer="0"/>
  <pageSetup paperSize="9" scale="66" fitToHeight="2" orientation="portrait" horizontalDpi="300" verticalDpi="300" r:id="rId1"/>
  <headerFooter scaleWithDoc="0" alignWithMargins="0"/>
  <ignoredErrors>
    <ignoredError sqref="B15:Y15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A754-2E73-48D3-B8C2-AD9128F324D7}">
  <sheetPr codeName="Planilha15">
    <tabColor theme="0" tint="-4.9989318521683403E-2"/>
  </sheetPr>
  <dimension ref="A1:T40"/>
  <sheetViews>
    <sheetView showGridLines="0" zoomScale="120" zoomScaleNormal="120" workbookViewId="0">
      <selection activeCell="K1" sqref="K1"/>
    </sheetView>
  </sheetViews>
  <sheetFormatPr defaultColWidth="9.109375" defaultRowHeight="14.4" x14ac:dyDescent="0.3"/>
  <cols>
    <col min="1" max="1" width="23.5546875" style="37" customWidth="1"/>
    <col min="2" max="7" width="10.6640625" style="37" customWidth="1"/>
    <col min="8" max="16384" width="9.109375" style="37"/>
  </cols>
  <sheetData>
    <row r="1" spans="1:20" x14ac:dyDescent="0.3">
      <c r="A1" s="1" t="s">
        <v>346</v>
      </c>
      <c r="B1" s="29"/>
      <c r="C1" s="29"/>
      <c r="D1" s="29"/>
      <c r="E1" s="29"/>
      <c r="F1" s="33"/>
      <c r="G1" s="33"/>
      <c r="H1" s="33"/>
      <c r="I1" s="33"/>
      <c r="J1" s="9"/>
      <c r="K1" s="9"/>
      <c r="L1" s="9"/>
      <c r="M1" s="9"/>
    </row>
    <row r="2" spans="1:20" x14ac:dyDescent="0.3">
      <c r="A2" s="10"/>
      <c r="B2" s="11"/>
      <c r="C2" s="11"/>
      <c r="D2" s="11"/>
      <c r="E2" s="11"/>
      <c r="F2" s="12"/>
      <c r="G2" s="12"/>
      <c r="H2" s="12"/>
      <c r="I2" s="12"/>
      <c r="J2" s="12"/>
      <c r="K2" s="12"/>
      <c r="L2" s="12"/>
      <c r="M2" s="12"/>
    </row>
    <row r="3" spans="1:20" ht="15" thickBot="1" x14ac:dyDescent="0.35"/>
    <row r="4" spans="1:20" ht="15" customHeight="1" x14ac:dyDescent="0.3">
      <c r="A4" s="234" t="s">
        <v>302</v>
      </c>
      <c r="B4" s="216" t="s">
        <v>296</v>
      </c>
      <c r="C4" s="216"/>
      <c r="D4" s="216"/>
      <c r="E4" s="216"/>
      <c r="F4" s="216"/>
      <c r="G4" s="217"/>
    </row>
    <row r="5" spans="1:20" x14ac:dyDescent="0.3">
      <c r="A5" s="235"/>
      <c r="B5" s="3">
        <v>2019</v>
      </c>
      <c r="C5" s="3">
        <v>2023</v>
      </c>
      <c r="D5" s="3">
        <v>2024</v>
      </c>
      <c r="E5" s="193" t="s">
        <v>357</v>
      </c>
      <c r="F5" s="2" t="s">
        <v>358</v>
      </c>
      <c r="G5" s="20" t="s">
        <v>353</v>
      </c>
    </row>
    <row r="6" spans="1:20" ht="18" customHeight="1" x14ac:dyDescent="0.3">
      <c r="A6" s="197" t="s">
        <v>111</v>
      </c>
      <c r="B6" s="61">
        <f>SUM(B7:B16)</f>
        <v>58300</v>
      </c>
      <c r="C6" s="61">
        <f>SUM(C7:C16)</f>
        <v>57041</v>
      </c>
      <c r="D6" s="61">
        <f>SUM(D7:D16)</f>
        <v>59494</v>
      </c>
      <c r="E6" s="194">
        <f t="shared" ref="E6:E16" si="0">D6/$D$6</f>
        <v>1</v>
      </c>
      <c r="F6" s="56">
        <f t="shared" ref="F6:F38" si="1">D6/C6-1</f>
        <v>4.3004154906120196E-2</v>
      </c>
      <c r="G6" s="56">
        <f t="shared" ref="G6:G19" si="2">D6/B6-1</f>
        <v>2.0480274442538526E-2</v>
      </c>
    </row>
    <row r="7" spans="1:20" ht="18" customHeight="1" x14ac:dyDescent="0.3">
      <c r="A7" s="198" t="s">
        <v>297</v>
      </c>
      <c r="B7" s="13">
        <v>43934</v>
      </c>
      <c r="C7" s="13">
        <v>40663</v>
      </c>
      <c r="D7" s="13">
        <v>42106</v>
      </c>
      <c r="E7" s="195">
        <f t="shared" si="0"/>
        <v>0.70773523380508963</v>
      </c>
      <c r="F7" s="45">
        <f t="shared" si="1"/>
        <v>3.5486806187443154E-2</v>
      </c>
      <c r="G7" s="45">
        <f t="shared" si="2"/>
        <v>-4.1607866344972044E-2</v>
      </c>
    </row>
    <row r="8" spans="1:20" ht="18" customHeight="1" x14ac:dyDescent="0.3">
      <c r="A8" s="198" t="s">
        <v>298</v>
      </c>
      <c r="B8" s="13">
        <v>1620</v>
      </c>
      <c r="C8" s="13">
        <v>1533</v>
      </c>
      <c r="D8" s="13">
        <v>1673</v>
      </c>
      <c r="E8" s="195">
        <f t="shared" si="0"/>
        <v>2.8120482737755068E-2</v>
      </c>
      <c r="F8" s="45">
        <f t="shared" si="1"/>
        <v>9.1324200913242004E-2</v>
      </c>
      <c r="G8" s="45">
        <f t="shared" si="2"/>
        <v>3.2716049382716106E-2</v>
      </c>
    </row>
    <row r="9" spans="1:20" ht="18" customHeight="1" x14ac:dyDescent="0.3">
      <c r="A9" s="198" t="s">
        <v>91</v>
      </c>
      <c r="B9" s="13">
        <v>2378</v>
      </c>
      <c r="C9" s="13">
        <v>1784</v>
      </c>
      <c r="D9" s="13">
        <v>1587</v>
      </c>
      <c r="E9" s="195">
        <f t="shared" si="0"/>
        <v>2.6674958819376742E-2</v>
      </c>
      <c r="F9" s="45">
        <f t="shared" si="1"/>
        <v>-0.11042600896860988</v>
      </c>
      <c r="G9" s="45">
        <f t="shared" si="2"/>
        <v>-0.33263246425567705</v>
      </c>
    </row>
    <row r="10" spans="1:20" ht="18" customHeight="1" x14ac:dyDescent="0.3">
      <c r="A10" s="198" t="s">
        <v>79</v>
      </c>
      <c r="B10" s="13">
        <v>4155</v>
      </c>
      <c r="C10" s="13">
        <v>5199</v>
      </c>
      <c r="D10" s="13">
        <v>5508</v>
      </c>
      <c r="E10" s="195">
        <f t="shared" si="0"/>
        <v>9.2580764446834982E-2</v>
      </c>
      <c r="F10" s="45">
        <f t="shared" si="1"/>
        <v>5.9434506635891449E-2</v>
      </c>
      <c r="G10" s="45">
        <f t="shared" si="2"/>
        <v>0.32563176895306856</v>
      </c>
    </row>
    <row r="11" spans="1:20" ht="18" customHeight="1" x14ac:dyDescent="0.3">
      <c r="A11" s="198" t="s">
        <v>80</v>
      </c>
      <c r="B11" s="13">
        <v>2946</v>
      </c>
      <c r="C11" s="13">
        <v>3737</v>
      </c>
      <c r="D11" s="13">
        <v>4038</v>
      </c>
      <c r="E11" s="195">
        <f t="shared" si="0"/>
        <v>6.7872390493158977E-2</v>
      </c>
      <c r="F11" s="45">
        <f t="shared" si="1"/>
        <v>8.0545892427080545E-2</v>
      </c>
      <c r="G11" s="45">
        <f t="shared" si="2"/>
        <v>0.37067209775967402</v>
      </c>
      <c r="M11" s="232"/>
      <c r="N11" s="232"/>
      <c r="O11" s="232"/>
      <c r="P11" s="232"/>
      <c r="Q11" s="232"/>
      <c r="R11" s="232"/>
      <c r="S11" s="233"/>
      <c r="T11" s="233"/>
    </row>
    <row r="12" spans="1:20" ht="18" customHeight="1" x14ac:dyDescent="0.3">
      <c r="A12" s="198" t="s">
        <v>81</v>
      </c>
      <c r="B12" s="13">
        <v>2344</v>
      </c>
      <c r="C12" s="13">
        <v>3239</v>
      </c>
      <c r="D12" s="13">
        <v>3602</v>
      </c>
      <c r="E12" s="195">
        <f t="shared" si="0"/>
        <v>6.0543920395333982E-2</v>
      </c>
      <c r="F12" s="45">
        <f t="shared" si="1"/>
        <v>0.11207162704538431</v>
      </c>
      <c r="G12" s="45">
        <f t="shared" si="2"/>
        <v>0.53668941979522189</v>
      </c>
      <c r="M12" s="232"/>
      <c r="N12" s="232"/>
      <c r="O12" s="232"/>
      <c r="P12" s="232"/>
      <c r="Q12" s="232"/>
      <c r="R12" s="232"/>
      <c r="S12" s="233"/>
      <c r="T12" s="233"/>
    </row>
    <row r="13" spans="1:20" ht="18" customHeight="1" x14ac:dyDescent="0.3">
      <c r="A13" s="198" t="s">
        <v>82</v>
      </c>
      <c r="B13" s="13">
        <v>326</v>
      </c>
      <c r="C13" s="13">
        <v>262</v>
      </c>
      <c r="D13" s="13">
        <v>275</v>
      </c>
      <c r="E13" s="195">
        <f t="shared" si="0"/>
        <v>4.622314855279524E-3</v>
      </c>
      <c r="F13" s="45">
        <f t="shared" si="1"/>
        <v>4.961832061068705E-2</v>
      </c>
      <c r="G13" s="45">
        <f t="shared" si="2"/>
        <v>-0.15644171779141103</v>
      </c>
      <c r="M13" s="57"/>
      <c r="N13" s="58"/>
      <c r="O13" s="58"/>
      <c r="P13" s="58"/>
      <c r="Q13" s="58"/>
      <c r="R13" s="58"/>
      <c r="S13" s="58"/>
      <c r="T13" s="59"/>
    </row>
    <row r="14" spans="1:20" ht="18" customHeight="1" x14ac:dyDescent="0.3">
      <c r="A14" s="198" t="s">
        <v>83</v>
      </c>
      <c r="B14" s="13">
        <v>47</v>
      </c>
      <c r="C14" s="13">
        <v>40</v>
      </c>
      <c r="D14" s="13">
        <v>37</v>
      </c>
      <c r="E14" s="195">
        <f t="shared" si="0"/>
        <v>6.2191145325579049E-4</v>
      </c>
      <c r="F14" s="45">
        <f t="shared" si="1"/>
        <v>-7.4999999999999956E-2</v>
      </c>
      <c r="G14" s="45">
        <f t="shared" si="2"/>
        <v>-0.21276595744680848</v>
      </c>
      <c r="M14" s="57"/>
      <c r="N14" s="58"/>
      <c r="O14" s="58"/>
      <c r="P14" s="58"/>
      <c r="Q14" s="58"/>
      <c r="R14" s="58"/>
      <c r="S14" s="58"/>
      <c r="T14" s="59"/>
    </row>
    <row r="15" spans="1:20" ht="18" customHeight="1" x14ac:dyDescent="0.3">
      <c r="A15" s="198" t="s">
        <v>84</v>
      </c>
      <c r="B15" s="13">
        <v>212</v>
      </c>
      <c r="C15" s="13">
        <v>189</v>
      </c>
      <c r="D15" s="13">
        <v>228</v>
      </c>
      <c r="E15" s="195">
        <f t="shared" si="0"/>
        <v>3.8323192254681145E-3</v>
      </c>
      <c r="F15" s="45">
        <f t="shared" si="1"/>
        <v>0.20634920634920628</v>
      </c>
      <c r="G15" s="45">
        <f t="shared" si="2"/>
        <v>7.547169811320753E-2</v>
      </c>
      <c r="M15" s="57"/>
      <c r="N15" s="58"/>
      <c r="O15" s="58"/>
      <c r="P15" s="58"/>
      <c r="Q15" s="58"/>
      <c r="R15" s="58"/>
      <c r="S15" s="58"/>
      <c r="T15" s="59"/>
    </row>
    <row r="16" spans="1:20" ht="18" customHeight="1" x14ac:dyDescent="0.3">
      <c r="A16" s="198" t="s">
        <v>85</v>
      </c>
      <c r="B16" s="13">
        <v>338</v>
      </c>
      <c r="C16" s="13">
        <v>395</v>
      </c>
      <c r="D16" s="13">
        <v>440</v>
      </c>
      <c r="E16" s="195">
        <f t="shared" si="0"/>
        <v>7.3957037684472381E-3</v>
      </c>
      <c r="F16" s="45">
        <f t="shared" si="1"/>
        <v>0.11392405063291133</v>
      </c>
      <c r="G16" s="45">
        <f t="shared" si="2"/>
        <v>0.30177514792899407</v>
      </c>
      <c r="M16" s="57"/>
      <c r="N16" s="58"/>
      <c r="O16" s="58"/>
      <c r="P16" s="58"/>
      <c r="Q16" s="58"/>
      <c r="R16" s="60"/>
      <c r="S16" s="60"/>
      <c r="T16" s="59"/>
    </row>
    <row r="17" spans="1:7" ht="18" customHeight="1" x14ac:dyDescent="0.3">
      <c r="A17" s="197" t="s">
        <v>344</v>
      </c>
      <c r="B17" s="62">
        <f>SUM(B18:B27)</f>
        <v>961</v>
      </c>
      <c r="C17" s="62">
        <f>SUM(C18:C27)</f>
        <v>1013</v>
      </c>
      <c r="D17" s="62">
        <f>SUM(D18:D27)</f>
        <v>1083</v>
      </c>
      <c r="E17" s="194">
        <f t="shared" ref="E17:E27" si="3">D17/$D$17</f>
        <v>1</v>
      </c>
      <c r="F17" s="56">
        <f t="shared" si="1"/>
        <v>6.9101678183613124E-2</v>
      </c>
      <c r="G17" s="56">
        <f t="shared" si="2"/>
        <v>0.12695109261186266</v>
      </c>
    </row>
    <row r="18" spans="1:7" ht="18" customHeight="1" x14ac:dyDescent="0.3">
      <c r="A18" s="198" t="s">
        <v>297</v>
      </c>
      <c r="B18" s="26">
        <v>719</v>
      </c>
      <c r="C18" s="26">
        <v>776</v>
      </c>
      <c r="D18" s="26">
        <v>811</v>
      </c>
      <c r="E18" s="195">
        <f t="shared" si="3"/>
        <v>0.74884579870729451</v>
      </c>
      <c r="F18" s="45">
        <f t="shared" si="1"/>
        <v>4.5103092783505216E-2</v>
      </c>
      <c r="G18" s="45">
        <f t="shared" si="2"/>
        <v>0.12795549374130744</v>
      </c>
    </row>
    <row r="19" spans="1:7" ht="18" customHeight="1" x14ac:dyDescent="0.3">
      <c r="A19" s="198" t="s">
        <v>298</v>
      </c>
      <c r="B19" s="26">
        <v>15</v>
      </c>
      <c r="C19" s="26">
        <v>15</v>
      </c>
      <c r="D19" s="26">
        <v>21</v>
      </c>
      <c r="E19" s="195">
        <f t="shared" si="3"/>
        <v>1.9390581717451522E-2</v>
      </c>
      <c r="F19" s="45">
        <f t="shared" si="1"/>
        <v>0.39999999999999991</v>
      </c>
      <c r="G19" s="45">
        <f t="shared" si="2"/>
        <v>0.39999999999999991</v>
      </c>
    </row>
    <row r="20" spans="1:7" ht="18" customHeight="1" x14ac:dyDescent="0.3">
      <c r="A20" s="198" t="s">
        <v>91</v>
      </c>
      <c r="B20" s="26">
        <v>78</v>
      </c>
      <c r="C20" s="26">
        <v>63</v>
      </c>
      <c r="D20" s="26">
        <v>62</v>
      </c>
      <c r="E20" s="195">
        <f t="shared" ref="E20:E26" si="4">D20/$D$17</f>
        <v>5.7248384118190214E-2</v>
      </c>
      <c r="F20" s="45">
        <f t="shared" ref="F20:F26" si="5">D20/C20-1</f>
        <v>-1.5873015873015928E-2</v>
      </c>
      <c r="G20" s="45">
        <f t="shared" ref="G20:G26" si="6">D20/B20-1</f>
        <v>-0.20512820512820518</v>
      </c>
    </row>
    <row r="21" spans="1:7" ht="18" customHeight="1" x14ac:dyDescent="0.3">
      <c r="A21" s="198" t="s">
        <v>79</v>
      </c>
      <c r="B21" s="26">
        <v>56</v>
      </c>
      <c r="C21" s="26">
        <v>45</v>
      </c>
      <c r="D21" s="26">
        <v>73</v>
      </c>
      <c r="E21" s="195">
        <f t="shared" si="4"/>
        <v>6.7405355493998148E-2</v>
      </c>
      <c r="F21" s="45">
        <f t="shared" si="5"/>
        <v>0.62222222222222223</v>
      </c>
      <c r="G21" s="45">
        <f t="shared" si="6"/>
        <v>0.3035714285714286</v>
      </c>
    </row>
    <row r="22" spans="1:7" ht="18" customHeight="1" x14ac:dyDescent="0.3">
      <c r="A22" s="198" t="s">
        <v>80</v>
      </c>
      <c r="B22" s="26">
        <v>32</v>
      </c>
      <c r="C22" s="26">
        <v>48</v>
      </c>
      <c r="D22" s="26">
        <v>41</v>
      </c>
      <c r="E22" s="195">
        <f t="shared" si="4"/>
        <v>3.7857802400738688E-2</v>
      </c>
      <c r="F22" s="45">
        <f t="shared" si="5"/>
        <v>-0.14583333333333337</v>
      </c>
      <c r="G22" s="45">
        <f t="shared" si="6"/>
        <v>0.28125</v>
      </c>
    </row>
    <row r="23" spans="1:7" ht="18" customHeight="1" x14ac:dyDescent="0.3">
      <c r="A23" s="198" t="s">
        <v>81</v>
      </c>
      <c r="B23" s="26">
        <v>44</v>
      </c>
      <c r="C23" s="26">
        <v>48</v>
      </c>
      <c r="D23" s="26">
        <v>44</v>
      </c>
      <c r="E23" s="195">
        <f t="shared" si="4"/>
        <v>4.0627885503231764E-2</v>
      </c>
      <c r="F23" s="45">
        <f t="shared" si="5"/>
        <v>-8.333333333333337E-2</v>
      </c>
      <c r="G23" s="45">
        <f t="shared" si="6"/>
        <v>0</v>
      </c>
    </row>
    <row r="24" spans="1:7" ht="18" customHeight="1" x14ac:dyDescent="0.3">
      <c r="A24" s="198" t="s">
        <v>82</v>
      </c>
      <c r="B24" s="26">
        <v>11</v>
      </c>
      <c r="C24" s="26">
        <v>11</v>
      </c>
      <c r="D24" s="26">
        <v>14</v>
      </c>
      <c r="E24" s="195">
        <f t="shared" si="4"/>
        <v>1.2927054478301015E-2</v>
      </c>
      <c r="F24" s="45">
        <f t="shared" si="5"/>
        <v>0.27272727272727271</v>
      </c>
      <c r="G24" s="45">
        <f t="shared" si="6"/>
        <v>0.27272727272727271</v>
      </c>
    </row>
    <row r="25" spans="1:7" ht="18" customHeight="1" x14ac:dyDescent="0.3">
      <c r="A25" s="198" t="s">
        <v>83</v>
      </c>
      <c r="B25" s="26">
        <v>0</v>
      </c>
      <c r="C25" s="26">
        <v>0</v>
      </c>
      <c r="D25" s="26">
        <v>2</v>
      </c>
      <c r="E25" s="195">
        <f t="shared" si="4"/>
        <v>1.8467220683287165E-3</v>
      </c>
      <c r="F25" s="45" t="s">
        <v>62</v>
      </c>
      <c r="G25" s="45" t="s">
        <v>62</v>
      </c>
    </row>
    <row r="26" spans="1:7" ht="18" customHeight="1" x14ac:dyDescent="0.3">
      <c r="A26" s="198" t="s">
        <v>84</v>
      </c>
      <c r="B26" s="26">
        <v>4</v>
      </c>
      <c r="C26" s="26">
        <v>5</v>
      </c>
      <c r="D26" s="26">
        <v>11</v>
      </c>
      <c r="E26" s="195">
        <f t="shared" si="4"/>
        <v>1.0156971375807941E-2</v>
      </c>
      <c r="F26" s="45">
        <f t="shared" si="5"/>
        <v>1.2000000000000002</v>
      </c>
      <c r="G26" s="45">
        <f t="shared" si="6"/>
        <v>1.75</v>
      </c>
    </row>
    <row r="27" spans="1:7" ht="18" customHeight="1" x14ac:dyDescent="0.3">
      <c r="A27" s="198" t="s">
        <v>85</v>
      </c>
      <c r="B27" s="26">
        <v>2</v>
      </c>
      <c r="C27" s="26">
        <v>2</v>
      </c>
      <c r="D27" s="26">
        <v>4</v>
      </c>
      <c r="E27" s="195">
        <f t="shared" si="3"/>
        <v>3.6934441366574329E-3</v>
      </c>
      <c r="F27" s="45">
        <f t="shared" si="1"/>
        <v>1</v>
      </c>
      <c r="G27" s="45">
        <f t="shared" ref="G27:G35" si="7">D27/B27-1</f>
        <v>1</v>
      </c>
    </row>
    <row r="28" spans="1:7" ht="18" customHeight="1" thickBot="1" x14ac:dyDescent="0.35">
      <c r="A28" s="197" t="s">
        <v>345</v>
      </c>
      <c r="B28" s="150">
        <f>SUM(B29:B38)</f>
        <v>1511</v>
      </c>
      <c r="C28" s="150">
        <f>SUM(C29:C38)</f>
        <v>1646</v>
      </c>
      <c r="D28" s="150">
        <f>SUM(D29:D38)</f>
        <v>1681</v>
      </c>
      <c r="E28" s="194">
        <f t="shared" ref="E28:E35" si="8">D28/$D$28</f>
        <v>1</v>
      </c>
      <c r="F28" s="56">
        <f t="shared" si="1"/>
        <v>2.126366950182268E-2</v>
      </c>
      <c r="G28" s="56">
        <f t="shared" si="7"/>
        <v>0.11250827266710783</v>
      </c>
    </row>
    <row r="29" spans="1:7" ht="18" customHeight="1" thickTop="1" x14ac:dyDescent="0.3">
      <c r="A29" s="198" t="s">
        <v>297</v>
      </c>
      <c r="B29" s="26">
        <v>1012</v>
      </c>
      <c r="C29" s="26">
        <v>1102</v>
      </c>
      <c r="D29" s="26">
        <v>1078</v>
      </c>
      <c r="E29" s="195">
        <f t="shared" si="8"/>
        <v>0.64128494943486025</v>
      </c>
      <c r="F29" s="45">
        <f t="shared" si="1"/>
        <v>-2.1778584392014522E-2</v>
      </c>
      <c r="G29" s="45">
        <f t="shared" si="7"/>
        <v>6.5217391304347894E-2</v>
      </c>
    </row>
    <row r="30" spans="1:7" ht="18" customHeight="1" x14ac:dyDescent="0.3">
      <c r="A30" s="198" t="s">
        <v>298</v>
      </c>
      <c r="B30" s="26">
        <v>44</v>
      </c>
      <c r="C30" s="26">
        <v>44</v>
      </c>
      <c r="D30" s="26">
        <v>55</v>
      </c>
      <c r="E30" s="195">
        <f t="shared" si="8"/>
        <v>3.2718619869125519E-2</v>
      </c>
      <c r="F30" s="45">
        <f t="shared" si="1"/>
        <v>0.25</v>
      </c>
      <c r="G30" s="45">
        <f t="shared" si="7"/>
        <v>0.25</v>
      </c>
    </row>
    <row r="31" spans="1:7" ht="18" customHeight="1" x14ac:dyDescent="0.3">
      <c r="A31" s="198" t="s">
        <v>91</v>
      </c>
      <c r="B31" s="26">
        <v>50</v>
      </c>
      <c r="C31" s="26">
        <v>38</v>
      </c>
      <c r="D31" s="26">
        <v>30</v>
      </c>
      <c r="E31" s="195">
        <f t="shared" si="8"/>
        <v>1.784651992861392E-2</v>
      </c>
      <c r="F31" s="45">
        <f t="shared" si="1"/>
        <v>-0.21052631578947367</v>
      </c>
      <c r="G31" s="45">
        <f t="shared" si="7"/>
        <v>-0.4</v>
      </c>
    </row>
    <row r="32" spans="1:7" ht="18" customHeight="1" x14ac:dyDescent="0.3">
      <c r="A32" s="198" t="s">
        <v>79</v>
      </c>
      <c r="B32" s="26">
        <v>240</v>
      </c>
      <c r="C32" s="26">
        <v>276</v>
      </c>
      <c r="D32" s="26">
        <v>297</v>
      </c>
      <c r="E32" s="195">
        <f t="shared" si="8"/>
        <v>0.17668054729327781</v>
      </c>
      <c r="F32" s="45">
        <f t="shared" si="1"/>
        <v>7.6086956521739024E-2</v>
      </c>
      <c r="G32" s="45">
        <f t="shared" si="7"/>
        <v>0.23750000000000004</v>
      </c>
    </row>
    <row r="33" spans="1:7" ht="18" customHeight="1" x14ac:dyDescent="0.3">
      <c r="A33" s="198" t="s">
        <v>80</v>
      </c>
      <c r="B33" s="26">
        <v>109</v>
      </c>
      <c r="C33" s="26">
        <v>137</v>
      </c>
      <c r="D33" s="26">
        <v>159</v>
      </c>
      <c r="E33" s="195">
        <f t="shared" si="8"/>
        <v>9.4586555621653773E-2</v>
      </c>
      <c r="F33" s="45">
        <f t="shared" si="1"/>
        <v>0.16058394160583944</v>
      </c>
      <c r="G33" s="45">
        <f t="shared" si="7"/>
        <v>0.45871559633027514</v>
      </c>
    </row>
    <row r="34" spans="1:7" ht="18" customHeight="1" x14ac:dyDescent="0.3">
      <c r="A34" s="198" t="s">
        <v>81</v>
      </c>
      <c r="B34" s="26">
        <v>43</v>
      </c>
      <c r="C34" s="26">
        <v>42</v>
      </c>
      <c r="D34" s="26">
        <v>55</v>
      </c>
      <c r="E34" s="195">
        <f t="shared" si="8"/>
        <v>3.2718619869125519E-2</v>
      </c>
      <c r="F34" s="45">
        <f t="shared" si="1"/>
        <v>0.30952380952380953</v>
      </c>
      <c r="G34" s="45">
        <f t="shared" si="7"/>
        <v>0.27906976744186052</v>
      </c>
    </row>
    <row r="35" spans="1:7" ht="18" customHeight="1" x14ac:dyDescent="0.3">
      <c r="A35" s="198" t="s">
        <v>82</v>
      </c>
      <c r="B35" s="26">
        <v>10</v>
      </c>
      <c r="C35" s="26">
        <v>4</v>
      </c>
      <c r="D35" s="26">
        <v>2</v>
      </c>
      <c r="E35" s="195">
        <f t="shared" si="8"/>
        <v>1.1897679952409281E-3</v>
      </c>
      <c r="F35" s="45">
        <f t="shared" si="1"/>
        <v>-0.5</v>
      </c>
      <c r="G35" s="45">
        <f t="shared" si="7"/>
        <v>-0.8</v>
      </c>
    </row>
    <row r="36" spans="1:7" ht="18" customHeight="1" x14ac:dyDescent="0.3">
      <c r="A36" s="198" t="s">
        <v>83</v>
      </c>
      <c r="B36" s="26">
        <v>0</v>
      </c>
      <c r="C36" s="26">
        <v>1</v>
      </c>
      <c r="D36" s="26">
        <v>4</v>
      </c>
      <c r="E36" s="195">
        <f t="shared" ref="E36:E38" si="9">D36/$D$28</f>
        <v>2.3795359904818562E-3</v>
      </c>
      <c r="F36" s="45">
        <f t="shared" si="1"/>
        <v>3</v>
      </c>
      <c r="G36" s="45" t="s">
        <v>62</v>
      </c>
    </row>
    <row r="37" spans="1:7" ht="18" customHeight="1" x14ac:dyDescent="0.3">
      <c r="A37" s="198" t="s">
        <v>84</v>
      </c>
      <c r="B37" s="26">
        <v>0</v>
      </c>
      <c r="C37" s="26">
        <v>1</v>
      </c>
      <c r="D37" s="26">
        <v>0</v>
      </c>
      <c r="E37" s="195">
        <f t="shared" si="9"/>
        <v>0</v>
      </c>
      <c r="F37" s="45">
        <f t="shared" si="1"/>
        <v>-1</v>
      </c>
      <c r="G37" s="45" t="s">
        <v>62</v>
      </c>
    </row>
    <row r="38" spans="1:7" ht="18" customHeight="1" x14ac:dyDescent="0.3">
      <c r="A38" s="198" t="s">
        <v>85</v>
      </c>
      <c r="B38" s="26">
        <v>3</v>
      </c>
      <c r="C38" s="26">
        <v>1</v>
      </c>
      <c r="D38" s="26">
        <v>1</v>
      </c>
      <c r="E38" s="195">
        <f t="shared" si="9"/>
        <v>5.9488399762046404E-4</v>
      </c>
      <c r="F38" s="45">
        <f t="shared" si="1"/>
        <v>0</v>
      </c>
      <c r="G38" s="45">
        <f t="shared" ref="G38" si="10">D38/B38-1</f>
        <v>-0.66666666666666674</v>
      </c>
    </row>
    <row r="39" spans="1:7" ht="18" customHeight="1" thickBot="1" x14ac:dyDescent="0.35">
      <c r="A39" s="199" t="s">
        <v>299</v>
      </c>
      <c r="B39" s="192">
        <f>B28+B17+B6</f>
        <v>60772</v>
      </c>
      <c r="C39" s="192">
        <f t="shared" ref="C39:D39" si="11">C28+C17+C6</f>
        <v>59700</v>
      </c>
      <c r="D39" s="192">
        <f t="shared" si="11"/>
        <v>62258</v>
      </c>
      <c r="E39" s="196" t="s">
        <v>62</v>
      </c>
      <c r="F39" s="151">
        <f>D39/C39-1</f>
        <v>4.2847571189279732E-2</v>
      </c>
      <c r="G39" s="151">
        <f>D39/B39-1</f>
        <v>2.445205028631614E-2</v>
      </c>
    </row>
    <row r="40" spans="1:7" x14ac:dyDescent="0.3">
      <c r="A40" s="48" t="s">
        <v>365</v>
      </c>
    </row>
  </sheetData>
  <mergeCells count="10">
    <mergeCell ref="A4:A5"/>
    <mergeCell ref="B4:G4"/>
    <mergeCell ref="M11:M12"/>
    <mergeCell ref="N11:N12"/>
    <mergeCell ref="O11:O12"/>
    <mergeCell ref="P11:P12"/>
    <mergeCell ref="Q11:Q12"/>
    <mergeCell ref="R11:R12"/>
    <mergeCell ref="S11:S12"/>
    <mergeCell ref="T11:T12"/>
  </mergeCells>
  <pageMargins left="0.7" right="0.7" top="0.75" bottom="0.75" header="0.3" footer="0.3"/>
  <pageSetup paperSize="9" orientation="portrait" verticalDpi="0" r:id="rId1"/>
  <ignoredErrors>
    <ignoredError sqref="B6:D6 B28:D28" formulaRange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8924-E411-44F8-B35C-BD98664AFC4C}">
  <sheetPr codeName="Planilha16">
    <tabColor theme="0" tint="-4.9989318521683403E-2"/>
  </sheetPr>
  <dimension ref="A1:W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5.6640625" style="9" customWidth="1"/>
    <col min="2" max="23" width="7.6640625" style="9" customWidth="1"/>
    <col min="24" max="24" width="5.6640625" style="9" customWidth="1"/>
    <col min="25" max="16384" width="7.88671875" style="9"/>
  </cols>
  <sheetData>
    <row r="1" spans="1:23" ht="19.95" customHeight="1" x14ac:dyDescent="0.3">
      <c r="A1" s="1" t="s">
        <v>310</v>
      </c>
      <c r="B1" s="29"/>
      <c r="C1" s="29"/>
      <c r="D1" s="29"/>
      <c r="E1" s="29"/>
      <c r="F1" s="29"/>
      <c r="G1" s="33"/>
    </row>
    <row r="2" spans="1:23" s="12" customFormat="1" ht="25.2" customHeight="1" thickBot="1" x14ac:dyDescent="0.25">
      <c r="A2" s="10"/>
      <c r="B2" s="11"/>
      <c r="C2" s="11"/>
      <c r="D2" s="11"/>
      <c r="E2" s="11"/>
      <c r="F2" s="11"/>
    </row>
    <row r="3" spans="1:23" s="12" customFormat="1" ht="13.95" customHeight="1" x14ac:dyDescent="0.2">
      <c r="A3" s="213" t="s">
        <v>309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89</v>
      </c>
      <c r="O3" s="216"/>
      <c r="P3" s="216"/>
      <c r="Q3" s="216"/>
      <c r="R3" s="215" t="s">
        <v>170</v>
      </c>
      <c r="S3" s="216"/>
      <c r="T3" s="217"/>
      <c r="U3" s="216" t="s">
        <v>171</v>
      </c>
      <c r="V3" s="216"/>
      <c r="W3" s="216"/>
    </row>
    <row r="4" spans="1:23" s="12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4">
        <v>2019</v>
      </c>
      <c r="G4" s="65">
        <v>2023</v>
      </c>
      <c r="H4" s="65">
        <v>2024</v>
      </c>
      <c r="I4" s="66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4">
        <v>2019</v>
      </c>
      <c r="O4" s="65">
        <v>2023</v>
      </c>
      <c r="P4" s="65">
        <v>2024</v>
      </c>
      <c r="Q4" s="66" t="s">
        <v>352</v>
      </c>
      <c r="R4" s="64">
        <v>2019</v>
      </c>
      <c r="S4" s="65">
        <v>2023</v>
      </c>
      <c r="T4" s="65">
        <v>2024</v>
      </c>
      <c r="U4" s="64">
        <v>2019</v>
      </c>
      <c r="V4" s="65">
        <v>2023</v>
      </c>
      <c r="W4" s="65">
        <v>2024</v>
      </c>
    </row>
    <row r="5" spans="1:23" s="12" customFormat="1" ht="12" customHeight="1" x14ac:dyDescent="0.2">
      <c r="A5" s="25" t="s">
        <v>86</v>
      </c>
      <c r="B5" s="108">
        <v>403</v>
      </c>
      <c r="C5" s="108">
        <v>428</v>
      </c>
      <c r="D5" s="108">
        <v>431</v>
      </c>
      <c r="E5" s="81">
        <f>D5/C5-1</f>
        <v>7.0093457943924964E-3</v>
      </c>
      <c r="F5" s="111">
        <v>1515</v>
      </c>
      <c r="G5" s="111">
        <v>1784</v>
      </c>
      <c r="H5" s="111">
        <v>1775</v>
      </c>
      <c r="I5" s="81">
        <f>H5/G5-1</f>
        <v>-5.0448430493273966E-3</v>
      </c>
      <c r="J5" s="111">
        <v>28876</v>
      </c>
      <c r="K5" s="111">
        <v>29024</v>
      </c>
      <c r="L5" s="111">
        <v>30263</v>
      </c>
      <c r="M5" s="80">
        <f>L5/K5-1</f>
        <v>4.268880926130092E-2</v>
      </c>
      <c r="N5" s="68">
        <f>B5+F5+J5</f>
        <v>30794</v>
      </c>
      <c r="O5" s="68">
        <f t="shared" ref="O5:O7" si="0">C5+G5+K5</f>
        <v>31236</v>
      </c>
      <c r="P5" s="68">
        <f t="shared" ref="P5:P7" si="1">D5+H5+L5</f>
        <v>32469</v>
      </c>
      <c r="Q5" s="81">
        <f>P5/O5-1</f>
        <v>3.9473684210526327E-2</v>
      </c>
      <c r="R5" s="71">
        <f t="shared" ref="R5:T8" si="2">(B5/(N5/100))</f>
        <v>1.308696499318049</v>
      </c>
      <c r="S5" s="72">
        <f t="shared" si="2"/>
        <v>1.3702138558074017</v>
      </c>
      <c r="T5" s="73">
        <f t="shared" si="2"/>
        <v>1.3274200006159722</v>
      </c>
      <c r="U5" s="72">
        <f t="shared" ref="U5:W8" si="3">(F5/(N5/100))</f>
        <v>4.9197895693966354</v>
      </c>
      <c r="V5" s="72">
        <f t="shared" si="3"/>
        <v>5.7113586886925338</v>
      </c>
      <c r="W5" s="72">
        <f t="shared" si="3"/>
        <v>5.4667529027687953</v>
      </c>
    </row>
    <row r="6" spans="1:23" s="12" customFormat="1" ht="12" customHeight="1" x14ac:dyDescent="0.2">
      <c r="A6" s="25" t="s">
        <v>87</v>
      </c>
      <c r="B6" s="95">
        <v>145</v>
      </c>
      <c r="C6" s="95">
        <v>105</v>
      </c>
      <c r="D6" s="95">
        <v>76</v>
      </c>
      <c r="E6" s="15">
        <f>D6/C6-1</f>
        <v>-0.27619047619047621</v>
      </c>
      <c r="F6" s="94">
        <v>418</v>
      </c>
      <c r="G6" s="94">
        <v>366</v>
      </c>
      <c r="H6" s="94">
        <v>425</v>
      </c>
      <c r="I6" s="15">
        <f>H6/G6-1</f>
        <v>0.16120218579234979</v>
      </c>
      <c r="J6" s="94">
        <v>10667</v>
      </c>
      <c r="K6" s="94">
        <v>9201</v>
      </c>
      <c r="L6" s="94">
        <v>9497</v>
      </c>
      <c r="M6" s="22">
        <f>L6/K6-1</f>
        <v>3.217041625910233E-2</v>
      </c>
      <c r="N6" s="13">
        <f t="shared" ref="N6:N7" si="4">B6+F6+J6</f>
        <v>11230</v>
      </c>
      <c r="O6" s="13">
        <f t="shared" si="0"/>
        <v>9672</v>
      </c>
      <c r="P6" s="13">
        <f t="shared" si="1"/>
        <v>9998</v>
      </c>
      <c r="Q6" s="15">
        <f>P6/O6-1</f>
        <v>3.3705541770057801E-2</v>
      </c>
      <c r="R6" s="74">
        <f t="shared" si="2"/>
        <v>1.2911843276936776</v>
      </c>
      <c r="S6" s="75">
        <f t="shared" si="2"/>
        <v>1.0856079404466501</v>
      </c>
      <c r="T6" s="76">
        <f t="shared" si="2"/>
        <v>0.76015203040608115</v>
      </c>
      <c r="U6" s="75">
        <f t="shared" si="3"/>
        <v>3.7221727515583258</v>
      </c>
      <c r="V6" s="75">
        <f t="shared" si="3"/>
        <v>3.7841191066997517</v>
      </c>
      <c r="W6" s="75">
        <f t="shared" si="3"/>
        <v>4.2508501700340062</v>
      </c>
    </row>
    <row r="7" spans="1:23" s="12" customFormat="1" ht="12" customHeight="1" x14ac:dyDescent="0.2">
      <c r="A7" s="25" t="s">
        <v>88</v>
      </c>
      <c r="B7" s="95">
        <v>140</v>
      </c>
      <c r="C7" s="95">
        <v>109</v>
      </c>
      <c r="D7" s="95">
        <v>111</v>
      </c>
      <c r="E7" s="15">
        <f>D7/C7-1</f>
        <v>1.8348623853210899E-2</v>
      </c>
      <c r="F7" s="94">
        <v>450</v>
      </c>
      <c r="G7" s="94">
        <v>350</v>
      </c>
      <c r="H7" s="94">
        <v>426</v>
      </c>
      <c r="I7" s="15">
        <f>H7/G7-1</f>
        <v>0.21714285714285708</v>
      </c>
      <c r="J7" s="94">
        <v>5391</v>
      </c>
      <c r="K7" s="94">
        <v>4648</v>
      </c>
      <c r="L7" s="94">
        <v>4847</v>
      </c>
      <c r="M7" s="22">
        <f>L7/K7-1</f>
        <v>4.2814113597246184E-2</v>
      </c>
      <c r="N7" s="13">
        <f t="shared" si="4"/>
        <v>5981</v>
      </c>
      <c r="O7" s="13">
        <f t="shared" si="0"/>
        <v>5107</v>
      </c>
      <c r="P7" s="13">
        <f t="shared" si="1"/>
        <v>5384</v>
      </c>
      <c r="Q7" s="15">
        <f>P7/O7-1</f>
        <v>5.4239279420403408E-2</v>
      </c>
      <c r="R7" s="74">
        <f t="shared" si="2"/>
        <v>2.340745694699883</v>
      </c>
      <c r="S7" s="75">
        <f t="shared" si="2"/>
        <v>2.1343254356765224</v>
      </c>
      <c r="T7" s="76">
        <f t="shared" si="2"/>
        <v>2.0616641901931647</v>
      </c>
      <c r="U7" s="75">
        <f t="shared" si="3"/>
        <v>7.5238254472496235</v>
      </c>
      <c r="V7" s="75">
        <f t="shared" si="3"/>
        <v>6.8533385549246129</v>
      </c>
      <c r="W7" s="75">
        <f t="shared" si="3"/>
        <v>7.9123328380386324</v>
      </c>
    </row>
    <row r="8" spans="1:23" s="12" customFormat="1" ht="12" customHeight="1" thickBot="1" x14ac:dyDescent="0.25">
      <c r="A8" s="27" t="s">
        <v>0</v>
      </c>
      <c r="B8" s="23">
        <f>SUM(B5:B7)</f>
        <v>688</v>
      </c>
      <c r="C8" s="16">
        <f t="shared" ref="C8:D8" si="5">SUM(C5:C7)</f>
        <v>642</v>
      </c>
      <c r="D8" s="16">
        <f t="shared" si="5"/>
        <v>618</v>
      </c>
      <c r="E8" s="24">
        <f>D8/C8-1</f>
        <v>-3.7383177570093462E-2</v>
      </c>
      <c r="F8" s="16">
        <f>SUM(F5:F7)</f>
        <v>2383</v>
      </c>
      <c r="G8" s="16">
        <f t="shared" ref="G8" si="6">SUM(G5:G7)</f>
        <v>2500</v>
      </c>
      <c r="H8" s="16">
        <f t="shared" ref="H8" si="7">SUM(H5:H7)</f>
        <v>2626</v>
      </c>
      <c r="I8" s="17">
        <f>H8/G8-1</f>
        <v>5.04E-2</v>
      </c>
      <c r="J8" s="23">
        <f>SUM(J5:J7)</f>
        <v>44934</v>
      </c>
      <c r="K8" s="16">
        <f t="shared" ref="K8" si="8">SUM(K5:K7)</f>
        <v>42873</v>
      </c>
      <c r="L8" s="16">
        <f t="shared" ref="L8" si="9">SUM(L5:L7)</f>
        <v>44607</v>
      </c>
      <c r="M8" s="24">
        <f>L8/K8-1</f>
        <v>4.0445035336925228E-2</v>
      </c>
      <c r="N8" s="16">
        <f>SUM(N5:N7)</f>
        <v>48005</v>
      </c>
      <c r="O8" s="16">
        <f t="shared" ref="O8" si="10">SUM(O5:O7)</f>
        <v>46015</v>
      </c>
      <c r="P8" s="16">
        <f t="shared" ref="P8" si="11">SUM(P5:P7)</f>
        <v>47851</v>
      </c>
      <c r="Q8" s="17">
        <f>P8/O8-1</f>
        <v>3.9900032598065849E-2</v>
      </c>
      <c r="R8" s="77">
        <f t="shared" si="2"/>
        <v>1.4331840433288199</v>
      </c>
      <c r="S8" s="78">
        <f t="shared" si="2"/>
        <v>1.3951972182983809</v>
      </c>
      <c r="T8" s="79">
        <f t="shared" si="2"/>
        <v>1.2915090593717999</v>
      </c>
      <c r="U8" s="78">
        <f t="shared" si="3"/>
        <v>4.9640662430996771</v>
      </c>
      <c r="V8" s="78">
        <f t="shared" si="3"/>
        <v>5.4330109746821691</v>
      </c>
      <c r="W8" s="78">
        <f t="shared" si="3"/>
        <v>5.4878685920879393</v>
      </c>
    </row>
    <row r="9" spans="1:23" s="12" customFormat="1" ht="12" customHeight="1" x14ac:dyDescent="0.2"/>
    <row r="10" spans="1:23" s="12" customFormat="1" ht="12" customHeight="1" x14ac:dyDescent="0.2"/>
    <row r="11" spans="1:23" s="12" customFormat="1" ht="12" customHeight="1" x14ac:dyDescent="0.2"/>
    <row r="12" spans="1:23" s="12" customFormat="1" ht="12" customHeight="1" x14ac:dyDescent="0.2"/>
    <row r="13" spans="1:23" s="12" customFormat="1" ht="12" customHeight="1" x14ac:dyDescent="0.2"/>
    <row r="14" spans="1:23" s="12" customFormat="1" ht="12" customHeight="1" x14ac:dyDescent="0.2"/>
    <row r="15" spans="1:23" s="12" customFormat="1" ht="12" customHeight="1" x14ac:dyDescent="0.2"/>
    <row r="16" spans="1:23" s="12" customFormat="1" ht="12" customHeight="1" x14ac:dyDescent="0.2"/>
    <row r="17" s="12" customFormat="1" ht="12" customHeight="1" x14ac:dyDescent="0.2"/>
    <row r="18" s="12" customFormat="1" ht="12" customHeight="1" x14ac:dyDescent="0.2"/>
    <row r="19" s="12" customFormat="1" ht="12" customHeight="1" x14ac:dyDescent="0.2"/>
    <row r="20" s="12" customFormat="1" ht="12" customHeight="1" x14ac:dyDescent="0.2"/>
    <row r="21" s="12" customFormat="1" ht="12" customHeight="1" x14ac:dyDescent="0.2"/>
    <row r="22" s="12" customFormat="1" ht="12" customHeight="1" x14ac:dyDescent="0.2"/>
    <row r="23" s="12" customFormat="1" ht="12" customHeight="1" x14ac:dyDescent="0.2"/>
    <row r="24" s="12" customFormat="1" ht="12" customHeight="1" x14ac:dyDescent="0.2"/>
    <row r="25" s="12" customFormat="1" ht="12" customHeight="1" x14ac:dyDescent="0.2"/>
    <row r="26" s="12" customFormat="1" ht="12" customHeight="1" x14ac:dyDescent="0.2"/>
    <row r="27" s="12" customFormat="1" ht="12" customHeight="1" x14ac:dyDescent="0.2"/>
    <row r="28" s="12" customFormat="1" ht="12" customHeight="1" x14ac:dyDescent="0.2"/>
    <row r="29" s="12" customFormat="1" ht="12" customHeight="1" x14ac:dyDescent="0.2"/>
    <row r="30" ht="12" customHeight="1" x14ac:dyDescent="0.25"/>
    <row r="31" ht="12" customHeight="1" x14ac:dyDescent="0.25"/>
    <row r="32" ht="12" customHeight="1" x14ac:dyDescent="0.25"/>
    <row r="33" ht="12" customHeight="1" x14ac:dyDescent="0.25"/>
  </sheetData>
  <mergeCells count="7">
    <mergeCell ref="R3:T3"/>
    <mergeCell ref="U3:W3"/>
    <mergeCell ref="A3:A4"/>
    <mergeCell ref="B3:E3"/>
    <mergeCell ref="F3:I3"/>
    <mergeCell ref="J3:M3"/>
    <mergeCell ref="N3:Q3"/>
  </mergeCells>
  <pageMargins left="0.78740157480314965" right="0.78740157480314965" top="0.78740157480314965" bottom="0.78740157480314965" header="0" footer="0"/>
  <pageSetup paperSize="9" scale="68" fitToHeight="2" orientation="portrait" horizontalDpi="300" verticalDpi="300" r:id="rId1"/>
  <headerFooter scaleWithDoc="0" alignWithMargins="0"/>
  <ignoredErrors>
    <ignoredError sqref="B8:D8 X8" formulaRange="1"/>
    <ignoredError sqref="E8:W8" formula="1" formulaRange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E762-0AB0-4755-9B5E-3404A03A19B3}">
  <sheetPr codeName="Planilha17">
    <pageSetUpPr fitToPage="1"/>
  </sheetPr>
  <dimension ref="A1:W33"/>
  <sheetViews>
    <sheetView showGridLines="0" showRuler="0" zoomScale="120" zoomScaleNormal="120" zoomScaleSheetLayoutView="100" workbookViewId="0">
      <selection activeCell="H1" sqref="H1"/>
    </sheetView>
  </sheetViews>
  <sheetFormatPr defaultColWidth="7.88671875" defaultRowHeight="13.2" x14ac:dyDescent="0.25"/>
  <cols>
    <col min="1" max="1" width="19" style="9" customWidth="1"/>
    <col min="2" max="23" width="7.6640625" style="9" customWidth="1"/>
    <col min="24" max="24" width="5.6640625" style="9" customWidth="1"/>
    <col min="25" max="16384" width="7.88671875" style="9"/>
  </cols>
  <sheetData>
    <row r="1" spans="1:23" ht="19.95" customHeight="1" x14ac:dyDescent="0.3">
      <c r="A1" s="1" t="s">
        <v>221</v>
      </c>
      <c r="B1" s="29"/>
      <c r="C1" s="29"/>
      <c r="D1" s="29"/>
      <c r="E1" s="29"/>
      <c r="F1" s="29"/>
      <c r="G1" s="33"/>
    </row>
    <row r="2" spans="1:23" s="12" customFormat="1" ht="25.2" customHeight="1" thickBot="1" x14ac:dyDescent="0.25">
      <c r="A2" s="10"/>
      <c r="B2" s="11"/>
      <c r="C2" s="11"/>
      <c r="D2" s="11"/>
      <c r="E2" s="11"/>
      <c r="F2" s="11"/>
    </row>
    <row r="3" spans="1:23" s="12" customFormat="1" ht="13.95" customHeight="1" x14ac:dyDescent="0.2">
      <c r="A3" s="213" t="s">
        <v>279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89</v>
      </c>
      <c r="O3" s="216"/>
      <c r="P3" s="216"/>
      <c r="Q3" s="216"/>
      <c r="R3" s="215" t="s">
        <v>170</v>
      </c>
      <c r="S3" s="216"/>
      <c r="T3" s="217"/>
      <c r="U3" s="216" t="s">
        <v>171</v>
      </c>
      <c r="V3" s="216"/>
      <c r="W3" s="216"/>
    </row>
    <row r="4" spans="1:23" s="12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5">
        <v>2019</v>
      </c>
      <c r="G4" s="65">
        <v>2023</v>
      </c>
      <c r="H4" s="65">
        <v>2024</v>
      </c>
      <c r="I4" s="65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5">
        <v>2019</v>
      </c>
      <c r="O4" s="65">
        <v>2023</v>
      </c>
      <c r="P4" s="65">
        <v>2024</v>
      </c>
      <c r="Q4" s="65" t="s">
        <v>352</v>
      </c>
      <c r="R4" s="64">
        <v>2019</v>
      </c>
      <c r="S4" s="65">
        <v>2023</v>
      </c>
      <c r="T4" s="66">
        <v>2024</v>
      </c>
      <c r="U4" s="65">
        <v>2019</v>
      </c>
      <c r="V4" s="65">
        <v>2023</v>
      </c>
      <c r="W4" s="65">
        <v>2024</v>
      </c>
    </row>
    <row r="5" spans="1:23" s="12" customFormat="1" ht="12" customHeight="1" thickBot="1" x14ac:dyDescent="0.25">
      <c r="A5" s="25" t="s">
        <v>90</v>
      </c>
      <c r="B5" s="155">
        <v>140</v>
      </c>
      <c r="C5" s="155">
        <v>109</v>
      </c>
      <c r="D5" s="155">
        <v>111</v>
      </c>
      <c r="E5" s="80">
        <f t="shared" ref="E5:E14" si="0">D5/C5-1</f>
        <v>1.8348623853210899E-2</v>
      </c>
      <c r="F5" s="155">
        <v>450</v>
      </c>
      <c r="G5" s="155">
        <v>350</v>
      </c>
      <c r="H5" s="155">
        <v>426</v>
      </c>
      <c r="I5" s="81">
        <f t="shared" ref="I5:I16" si="1">H5/G5-1</f>
        <v>0.21714285714285708</v>
      </c>
      <c r="J5" s="156">
        <v>5391</v>
      </c>
      <c r="K5" s="156">
        <v>4648</v>
      </c>
      <c r="L5" s="156">
        <v>4847</v>
      </c>
      <c r="M5" s="80">
        <f t="shared" ref="M5:M16" si="2">L5/K5-1</f>
        <v>4.2814113597246184E-2</v>
      </c>
      <c r="N5" s="68">
        <f>B5+F5+J5</f>
        <v>5981</v>
      </c>
      <c r="O5" s="68">
        <f t="shared" ref="O5:P15" si="3">C5+G5+K5</f>
        <v>5107</v>
      </c>
      <c r="P5" s="68">
        <f t="shared" si="3"/>
        <v>5384</v>
      </c>
      <c r="Q5" s="81">
        <f t="shared" ref="Q5:Q16" si="4">P5/O5-1</f>
        <v>5.4239279420403408E-2</v>
      </c>
      <c r="R5" s="71">
        <f t="shared" ref="R5:R16" si="5">(B5/(N5/100))</f>
        <v>2.340745694699883</v>
      </c>
      <c r="S5" s="72">
        <f t="shared" ref="S5:S16" si="6">(C5/(O5/100))</f>
        <v>2.1343254356765224</v>
      </c>
      <c r="T5" s="73">
        <f t="shared" ref="T5:T16" si="7">(D5/(P5/100))</f>
        <v>2.0616641901931647</v>
      </c>
      <c r="U5" s="72">
        <f t="shared" ref="U5:U16" si="8">(F5/(N5/100))</f>
        <v>7.5238254472496235</v>
      </c>
      <c r="V5" s="72">
        <f t="shared" ref="V5:V16" si="9">(G5/(O5/100))</f>
        <v>6.8533385549246129</v>
      </c>
      <c r="W5" s="72">
        <f t="shared" ref="W5:W16" si="10">(H5/(P5/100))</f>
        <v>7.9123328380386324</v>
      </c>
    </row>
    <row r="6" spans="1:23" s="12" customFormat="1" ht="12" customHeight="1" thickTop="1" thickBot="1" x14ac:dyDescent="0.25">
      <c r="A6" s="25" t="s">
        <v>297</v>
      </c>
      <c r="B6" s="154">
        <v>293</v>
      </c>
      <c r="C6" s="154">
        <v>276</v>
      </c>
      <c r="D6" s="154">
        <v>262</v>
      </c>
      <c r="E6" s="22">
        <f t="shared" si="0"/>
        <v>-5.0724637681159424E-2</v>
      </c>
      <c r="F6" s="154">
        <v>981</v>
      </c>
      <c r="G6" s="154">
        <v>974</v>
      </c>
      <c r="H6" s="154">
        <v>985</v>
      </c>
      <c r="I6" s="15">
        <f t="shared" si="1"/>
        <v>1.1293634496919891E-2</v>
      </c>
      <c r="J6" s="157">
        <v>26734</v>
      </c>
      <c r="K6" s="157">
        <v>23626</v>
      </c>
      <c r="L6" s="157">
        <v>24243</v>
      </c>
      <c r="M6" s="22">
        <f t="shared" si="2"/>
        <v>2.6115296707017732E-2</v>
      </c>
      <c r="N6" s="147">
        <f t="shared" ref="N6:N15" si="11">B6+F6+J6</f>
        <v>28008</v>
      </c>
      <c r="O6" s="152">
        <f t="shared" si="3"/>
        <v>24876</v>
      </c>
      <c r="P6" s="152">
        <f t="shared" si="3"/>
        <v>25490</v>
      </c>
      <c r="Q6" s="15">
        <f t="shared" si="4"/>
        <v>2.4682424827142668E-2</v>
      </c>
      <c r="R6" s="74">
        <f t="shared" si="5"/>
        <v>1.0461296772350757</v>
      </c>
      <c r="S6" s="75">
        <f t="shared" si="6"/>
        <v>1.1095031355523397</v>
      </c>
      <c r="T6" s="76">
        <f t="shared" si="7"/>
        <v>1.0278540604158493</v>
      </c>
      <c r="U6" s="75">
        <f t="shared" si="8"/>
        <v>3.502570694087404</v>
      </c>
      <c r="V6" s="75">
        <f t="shared" si="9"/>
        <v>3.9154204856086188</v>
      </c>
      <c r="W6" s="75">
        <f t="shared" si="10"/>
        <v>3.8642604943114947</v>
      </c>
    </row>
    <row r="7" spans="1:23" s="12" customFormat="1" ht="12" customHeight="1" thickTop="1" thickBot="1" x14ac:dyDescent="0.25">
      <c r="A7" s="25" t="s">
        <v>298</v>
      </c>
      <c r="B7" s="154">
        <v>37</v>
      </c>
      <c r="C7" s="154">
        <v>9</v>
      </c>
      <c r="D7" s="154">
        <v>3</v>
      </c>
      <c r="E7" s="22">
        <f t="shared" si="0"/>
        <v>-0.66666666666666674</v>
      </c>
      <c r="F7" s="154">
        <v>45</v>
      </c>
      <c r="G7" s="154">
        <v>28</v>
      </c>
      <c r="H7" s="154">
        <v>27</v>
      </c>
      <c r="I7" s="15">
        <f t="shared" si="1"/>
        <v>-3.5714285714285698E-2</v>
      </c>
      <c r="J7" s="157">
        <v>600</v>
      </c>
      <c r="K7" s="157">
        <v>503</v>
      </c>
      <c r="L7" s="157">
        <v>567</v>
      </c>
      <c r="M7" s="22">
        <f t="shared" si="2"/>
        <v>0.12723658051689868</v>
      </c>
      <c r="N7" s="147">
        <f t="shared" si="11"/>
        <v>682</v>
      </c>
      <c r="O7" s="152">
        <f t="shared" si="3"/>
        <v>540</v>
      </c>
      <c r="P7" s="152">
        <f t="shared" si="3"/>
        <v>597</v>
      </c>
      <c r="Q7" s="15">
        <f t="shared" si="4"/>
        <v>0.10555555555555562</v>
      </c>
      <c r="R7" s="74">
        <f t="shared" si="5"/>
        <v>5.4252199413489732</v>
      </c>
      <c r="S7" s="75">
        <f t="shared" si="6"/>
        <v>1.6666666666666665</v>
      </c>
      <c r="T7" s="76">
        <f t="shared" si="7"/>
        <v>0.50251256281407042</v>
      </c>
      <c r="U7" s="75">
        <f t="shared" si="8"/>
        <v>6.5982404692082106</v>
      </c>
      <c r="V7" s="75">
        <f t="shared" si="9"/>
        <v>5.1851851851851851</v>
      </c>
      <c r="W7" s="75">
        <f t="shared" si="10"/>
        <v>4.5226130653266337</v>
      </c>
    </row>
    <row r="8" spans="1:23" s="12" customFormat="1" ht="12" customHeight="1" thickTop="1" thickBot="1" x14ac:dyDescent="0.25">
      <c r="A8" s="25" t="s">
        <v>91</v>
      </c>
      <c r="B8" s="154">
        <v>36</v>
      </c>
      <c r="C8" s="154">
        <v>29</v>
      </c>
      <c r="D8" s="154">
        <v>25</v>
      </c>
      <c r="E8" s="22">
        <f t="shared" si="0"/>
        <v>-0.13793103448275867</v>
      </c>
      <c r="F8" s="154">
        <v>158</v>
      </c>
      <c r="G8" s="154">
        <v>131</v>
      </c>
      <c r="H8" s="154">
        <v>125</v>
      </c>
      <c r="I8" s="15">
        <f t="shared" si="1"/>
        <v>-4.5801526717557217E-2</v>
      </c>
      <c r="J8" s="157">
        <v>2391</v>
      </c>
      <c r="K8" s="157">
        <v>1787</v>
      </c>
      <c r="L8" s="157">
        <v>1596</v>
      </c>
      <c r="M8" s="22">
        <f t="shared" si="2"/>
        <v>-0.10688304420817007</v>
      </c>
      <c r="N8" s="147">
        <f t="shared" si="11"/>
        <v>2585</v>
      </c>
      <c r="O8" s="152">
        <f t="shared" si="3"/>
        <v>1947</v>
      </c>
      <c r="P8" s="152">
        <f t="shared" si="3"/>
        <v>1746</v>
      </c>
      <c r="Q8" s="15">
        <f t="shared" si="4"/>
        <v>-0.1032357473035439</v>
      </c>
      <c r="R8" s="74">
        <f t="shared" si="5"/>
        <v>1.3926499032882012</v>
      </c>
      <c r="S8" s="75">
        <f t="shared" si="6"/>
        <v>1.4894709809964048</v>
      </c>
      <c r="T8" s="76">
        <f t="shared" si="7"/>
        <v>1.43184421534937</v>
      </c>
      <c r="U8" s="75">
        <f t="shared" si="8"/>
        <v>6.1121856866537714</v>
      </c>
      <c r="V8" s="75">
        <f t="shared" si="9"/>
        <v>6.7282999486389317</v>
      </c>
      <c r="W8" s="75">
        <f t="shared" si="10"/>
        <v>7.1592210767468494</v>
      </c>
    </row>
    <row r="9" spans="1:23" s="12" customFormat="1" ht="12" customHeight="1" thickTop="1" thickBot="1" x14ac:dyDescent="0.25">
      <c r="A9" s="25" t="s">
        <v>306</v>
      </c>
      <c r="B9" s="154">
        <v>37</v>
      </c>
      <c r="C9" s="154">
        <v>48</v>
      </c>
      <c r="D9" s="154">
        <v>41</v>
      </c>
      <c r="E9" s="22">
        <f t="shared" si="0"/>
        <v>-0.14583333333333337</v>
      </c>
      <c r="F9" s="154">
        <v>215</v>
      </c>
      <c r="G9" s="154">
        <v>295</v>
      </c>
      <c r="H9" s="154">
        <v>334</v>
      </c>
      <c r="I9" s="15">
        <f t="shared" si="1"/>
        <v>0.13220338983050839</v>
      </c>
      <c r="J9" s="157">
        <v>4330</v>
      </c>
      <c r="K9" s="157">
        <v>5352</v>
      </c>
      <c r="L9" s="157">
        <v>5709</v>
      </c>
      <c r="M9" s="22">
        <f t="shared" si="2"/>
        <v>6.6704035874439516E-2</v>
      </c>
      <c r="N9" s="147">
        <f t="shared" si="11"/>
        <v>4582</v>
      </c>
      <c r="O9" s="152">
        <f t="shared" si="3"/>
        <v>5695</v>
      </c>
      <c r="P9" s="152">
        <f t="shared" si="3"/>
        <v>6084</v>
      </c>
      <c r="Q9" s="15">
        <f t="shared" si="4"/>
        <v>6.8305531167691003E-2</v>
      </c>
      <c r="R9" s="74">
        <f t="shared" si="5"/>
        <v>0.80750763858577035</v>
      </c>
      <c r="S9" s="75">
        <f t="shared" si="6"/>
        <v>0.84284460052677779</v>
      </c>
      <c r="T9" s="76">
        <f t="shared" si="7"/>
        <v>0.67389875082182771</v>
      </c>
      <c r="U9" s="75">
        <f t="shared" si="8"/>
        <v>4.6922741161065034</v>
      </c>
      <c r="V9" s="75">
        <f t="shared" si="9"/>
        <v>5.179982440737489</v>
      </c>
      <c r="W9" s="75">
        <f t="shared" si="10"/>
        <v>5.4898093359631819</v>
      </c>
    </row>
    <row r="10" spans="1:23" s="12" customFormat="1" ht="12" customHeight="1" thickTop="1" thickBot="1" x14ac:dyDescent="0.25">
      <c r="A10" s="25" t="s">
        <v>307</v>
      </c>
      <c r="B10" s="154">
        <v>90</v>
      </c>
      <c r="C10" s="154">
        <v>117</v>
      </c>
      <c r="D10" s="154">
        <v>124</v>
      </c>
      <c r="E10" s="22">
        <f t="shared" si="0"/>
        <v>5.9829059829059839E-2</v>
      </c>
      <c r="F10" s="154">
        <v>342</v>
      </c>
      <c r="G10" s="154">
        <v>499</v>
      </c>
      <c r="H10" s="154">
        <v>494</v>
      </c>
      <c r="I10" s="15">
        <f t="shared" si="1"/>
        <v>-1.0020040080160331E-2</v>
      </c>
      <c r="J10" s="157">
        <v>2790</v>
      </c>
      <c r="K10" s="157">
        <v>3491</v>
      </c>
      <c r="L10" s="157">
        <v>3816</v>
      </c>
      <c r="M10" s="22">
        <f t="shared" si="2"/>
        <v>9.3096533944428517E-2</v>
      </c>
      <c r="N10" s="147">
        <f t="shared" si="11"/>
        <v>3222</v>
      </c>
      <c r="O10" s="152">
        <f t="shared" si="3"/>
        <v>4107</v>
      </c>
      <c r="P10" s="152">
        <f t="shared" si="3"/>
        <v>4434</v>
      </c>
      <c r="Q10" s="15">
        <f t="shared" si="4"/>
        <v>7.9620160701241893E-2</v>
      </c>
      <c r="R10" s="74">
        <f t="shared" si="5"/>
        <v>2.7932960893854748</v>
      </c>
      <c r="S10" s="75">
        <f t="shared" si="6"/>
        <v>2.8487947406866327</v>
      </c>
      <c r="T10" s="76">
        <f t="shared" si="7"/>
        <v>2.7965719440685608</v>
      </c>
      <c r="U10" s="75">
        <f t="shared" si="8"/>
        <v>10.614525139664805</v>
      </c>
      <c r="V10" s="75">
        <f t="shared" si="9"/>
        <v>12.149987825663501</v>
      </c>
      <c r="W10" s="75">
        <f t="shared" si="10"/>
        <v>11.141181777176364</v>
      </c>
    </row>
    <row r="11" spans="1:23" s="12" customFormat="1" ht="12" customHeight="1" thickTop="1" thickBot="1" x14ac:dyDescent="0.25">
      <c r="A11" s="25" t="s">
        <v>81</v>
      </c>
      <c r="B11" s="154">
        <v>27</v>
      </c>
      <c r="C11" s="154">
        <v>33</v>
      </c>
      <c r="D11" s="154">
        <v>30</v>
      </c>
      <c r="E11" s="22">
        <f t="shared" si="0"/>
        <v>-9.0909090909090939E-2</v>
      </c>
      <c r="F11" s="154">
        <v>121</v>
      </c>
      <c r="G11" s="154">
        <v>180</v>
      </c>
      <c r="H11" s="154">
        <v>171</v>
      </c>
      <c r="I11" s="15">
        <f t="shared" si="1"/>
        <v>-5.0000000000000044E-2</v>
      </c>
      <c r="J11" s="157">
        <v>2172</v>
      </c>
      <c r="K11" s="157">
        <v>3046</v>
      </c>
      <c r="L11" s="157">
        <v>3431</v>
      </c>
      <c r="M11" s="22">
        <f t="shared" si="2"/>
        <v>0.12639527248850957</v>
      </c>
      <c r="N11" s="147">
        <f t="shared" si="11"/>
        <v>2320</v>
      </c>
      <c r="O11" s="152">
        <f t="shared" si="3"/>
        <v>3259</v>
      </c>
      <c r="P11" s="152">
        <f t="shared" si="3"/>
        <v>3632</v>
      </c>
      <c r="Q11" s="15">
        <f t="shared" si="4"/>
        <v>0.11445228597729362</v>
      </c>
      <c r="R11" s="74">
        <f t="shared" si="5"/>
        <v>1.1637931034482758</v>
      </c>
      <c r="S11" s="75">
        <f t="shared" si="6"/>
        <v>1.0125805461798096</v>
      </c>
      <c r="T11" s="76">
        <f t="shared" si="7"/>
        <v>0.82599118942731276</v>
      </c>
      <c r="U11" s="75">
        <f t="shared" si="8"/>
        <v>5.2155172413793105</v>
      </c>
      <c r="V11" s="75">
        <f t="shared" si="9"/>
        <v>5.5231666155262342</v>
      </c>
      <c r="W11" s="75">
        <f t="shared" si="10"/>
        <v>4.7081497797356828</v>
      </c>
    </row>
    <row r="12" spans="1:23" s="12" customFormat="1" ht="12" customHeight="1" thickTop="1" thickBot="1" x14ac:dyDescent="0.25">
      <c r="A12" s="25" t="s">
        <v>82</v>
      </c>
      <c r="B12" s="154">
        <v>12</v>
      </c>
      <c r="C12" s="154">
        <v>9</v>
      </c>
      <c r="D12" s="154">
        <v>8</v>
      </c>
      <c r="E12" s="22">
        <f t="shared" si="0"/>
        <v>-0.11111111111111116</v>
      </c>
      <c r="F12" s="154">
        <v>40</v>
      </c>
      <c r="G12" s="154">
        <v>21</v>
      </c>
      <c r="H12" s="154">
        <v>27</v>
      </c>
      <c r="I12" s="15">
        <f t="shared" si="1"/>
        <v>0.28571428571428581</v>
      </c>
      <c r="J12" s="157">
        <v>319</v>
      </c>
      <c r="K12" s="157">
        <v>243</v>
      </c>
      <c r="L12" s="157">
        <v>221</v>
      </c>
      <c r="M12" s="22">
        <f t="shared" si="2"/>
        <v>-9.0534979423868345E-2</v>
      </c>
      <c r="N12" s="147">
        <f t="shared" si="11"/>
        <v>371</v>
      </c>
      <c r="O12" s="152">
        <f t="shared" si="3"/>
        <v>273</v>
      </c>
      <c r="P12" s="152">
        <f t="shared" si="3"/>
        <v>256</v>
      </c>
      <c r="Q12" s="15">
        <f t="shared" si="4"/>
        <v>-6.2271062271062272E-2</v>
      </c>
      <c r="R12" s="74">
        <f t="shared" si="5"/>
        <v>3.2345013477088949</v>
      </c>
      <c r="S12" s="75">
        <f t="shared" si="6"/>
        <v>3.2967032967032965</v>
      </c>
      <c r="T12" s="76">
        <f t="shared" si="7"/>
        <v>3.125</v>
      </c>
      <c r="U12" s="75">
        <f t="shared" si="8"/>
        <v>10.781671159029649</v>
      </c>
      <c r="V12" s="75">
        <f t="shared" si="9"/>
        <v>7.6923076923076925</v>
      </c>
      <c r="W12" s="75">
        <f t="shared" si="10"/>
        <v>10.546875</v>
      </c>
    </row>
    <row r="13" spans="1:23" s="12" customFormat="1" ht="12" customHeight="1" thickTop="1" thickBot="1" x14ac:dyDescent="0.25">
      <c r="A13" s="25" t="s">
        <v>83</v>
      </c>
      <c r="B13" s="154">
        <v>0</v>
      </c>
      <c r="C13" s="154">
        <v>0</v>
      </c>
      <c r="D13" s="154">
        <v>0</v>
      </c>
      <c r="E13" s="34" t="s">
        <v>62</v>
      </c>
      <c r="F13" s="154">
        <v>1</v>
      </c>
      <c r="G13" s="154">
        <v>5</v>
      </c>
      <c r="H13" s="154">
        <v>3</v>
      </c>
      <c r="I13" s="15">
        <f t="shared" si="1"/>
        <v>-0.4</v>
      </c>
      <c r="J13" s="157">
        <v>45</v>
      </c>
      <c r="K13" s="157">
        <v>35</v>
      </c>
      <c r="L13" s="157">
        <v>34</v>
      </c>
      <c r="M13" s="22">
        <f t="shared" si="2"/>
        <v>-2.8571428571428581E-2</v>
      </c>
      <c r="N13" s="147">
        <f t="shared" si="11"/>
        <v>46</v>
      </c>
      <c r="O13" s="152">
        <f t="shared" si="3"/>
        <v>40</v>
      </c>
      <c r="P13" s="152">
        <f t="shared" si="3"/>
        <v>37</v>
      </c>
      <c r="Q13" s="15">
        <f t="shared" si="4"/>
        <v>-7.4999999999999956E-2</v>
      </c>
      <c r="R13" s="74">
        <f t="shared" si="5"/>
        <v>0</v>
      </c>
      <c r="S13" s="75">
        <f t="shared" si="6"/>
        <v>0</v>
      </c>
      <c r="T13" s="76">
        <f t="shared" si="7"/>
        <v>0</v>
      </c>
      <c r="U13" s="75">
        <f t="shared" si="8"/>
        <v>2.1739130434782608</v>
      </c>
      <c r="V13" s="75">
        <f t="shared" si="9"/>
        <v>12.5</v>
      </c>
      <c r="W13" s="75">
        <f t="shared" si="10"/>
        <v>8.1081081081081088</v>
      </c>
    </row>
    <row r="14" spans="1:23" s="12" customFormat="1" ht="12" customHeight="1" thickTop="1" thickBot="1" x14ac:dyDescent="0.25">
      <c r="A14" s="25" t="s">
        <v>84</v>
      </c>
      <c r="B14" s="154">
        <v>15</v>
      </c>
      <c r="C14" s="154">
        <v>12</v>
      </c>
      <c r="D14" s="154">
        <v>13</v>
      </c>
      <c r="E14" s="22">
        <f t="shared" si="0"/>
        <v>8.3333333333333259E-2</v>
      </c>
      <c r="F14" s="154">
        <v>25</v>
      </c>
      <c r="G14" s="154">
        <v>14</v>
      </c>
      <c r="H14" s="154">
        <v>31</v>
      </c>
      <c r="I14" s="15">
        <f t="shared" si="1"/>
        <v>1.2142857142857144</v>
      </c>
      <c r="J14" s="157">
        <v>105</v>
      </c>
      <c r="K14" s="157">
        <v>108</v>
      </c>
      <c r="L14" s="157">
        <v>124</v>
      </c>
      <c r="M14" s="22">
        <f t="shared" si="2"/>
        <v>0.14814814814814814</v>
      </c>
      <c r="N14" s="147">
        <f t="shared" si="11"/>
        <v>145</v>
      </c>
      <c r="O14" s="152">
        <f t="shared" si="3"/>
        <v>134</v>
      </c>
      <c r="P14" s="152">
        <f t="shared" si="3"/>
        <v>168</v>
      </c>
      <c r="Q14" s="15">
        <f t="shared" si="4"/>
        <v>0.25373134328358216</v>
      </c>
      <c r="R14" s="74">
        <f t="shared" si="5"/>
        <v>10.344827586206897</v>
      </c>
      <c r="S14" s="75">
        <f t="shared" si="6"/>
        <v>8.9552238805970141</v>
      </c>
      <c r="T14" s="76">
        <f t="shared" si="7"/>
        <v>7.7380952380952381</v>
      </c>
      <c r="U14" s="75">
        <f t="shared" si="8"/>
        <v>17.241379310344829</v>
      </c>
      <c r="V14" s="75">
        <f t="shared" si="9"/>
        <v>10.44776119402985</v>
      </c>
      <c r="W14" s="75">
        <f t="shared" si="10"/>
        <v>18.452380952380953</v>
      </c>
    </row>
    <row r="15" spans="1:23" s="12" customFormat="1" ht="12" customHeight="1" thickTop="1" x14ac:dyDescent="0.2">
      <c r="A15" s="25" t="s">
        <v>85</v>
      </c>
      <c r="B15" s="154">
        <v>1</v>
      </c>
      <c r="C15" s="154">
        <v>0</v>
      </c>
      <c r="D15" s="154">
        <v>1</v>
      </c>
      <c r="E15" s="22">
        <v>1</v>
      </c>
      <c r="F15" s="154">
        <v>5</v>
      </c>
      <c r="G15" s="154">
        <v>3</v>
      </c>
      <c r="H15" s="154">
        <v>3</v>
      </c>
      <c r="I15" s="15">
        <f t="shared" si="1"/>
        <v>0</v>
      </c>
      <c r="J15" s="157">
        <v>57</v>
      </c>
      <c r="K15" s="157">
        <v>34</v>
      </c>
      <c r="L15" s="157">
        <v>19</v>
      </c>
      <c r="M15" s="22">
        <f t="shared" si="2"/>
        <v>-0.44117647058823528</v>
      </c>
      <c r="N15" s="13">
        <f t="shared" si="11"/>
        <v>63</v>
      </c>
      <c r="O15" s="13">
        <f t="shared" si="3"/>
        <v>37</v>
      </c>
      <c r="P15" s="13">
        <f t="shared" si="3"/>
        <v>23</v>
      </c>
      <c r="Q15" s="15">
        <f t="shared" si="4"/>
        <v>-0.3783783783783784</v>
      </c>
      <c r="R15" s="74">
        <f t="shared" si="5"/>
        <v>1.5873015873015872</v>
      </c>
      <c r="S15" s="75">
        <f t="shared" si="6"/>
        <v>0</v>
      </c>
      <c r="T15" s="76">
        <f t="shared" si="7"/>
        <v>4.3478260869565215</v>
      </c>
      <c r="U15" s="75">
        <f t="shared" si="8"/>
        <v>7.9365079365079367</v>
      </c>
      <c r="V15" s="75">
        <f t="shared" si="9"/>
        <v>8.1081081081081088</v>
      </c>
      <c r="W15" s="75">
        <f t="shared" si="10"/>
        <v>13.043478260869565</v>
      </c>
    </row>
    <row r="16" spans="1:23" s="12" customFormat="1" ht="12" customHeight="1" thickBot="1" x14ac:dyDescent="0.25">
      <c r="A16" s="27" t="s">
        <v>0</v>
      </c>
      <c r="B16" s="23">
        <f>SUM(B5:B15)</f>
        <v>688</v>
      </c>
      <c r="C16" s="16">
        <f t="shared" ref="C16:D16" si="12">SUM(C5:C15)</f>
        <v>642</v>
      </c>
      <c r="D16" s="16">
        <f t="shared" si="12"/>
        <v>618</v>
      </c>
      <c r="E16" s="24">
        <f>D16/C16-1</f>
        <v>-3.7383177570093462E-2</v>
      </c>
      <c r="F16" s="16">
        <f>SUM(F5:F15)</f>
        <v>2383</v>
      </c>
      <c r="G16" s="16">
        <f t="shared" ref="G16:H16" si="13">SUM(G5:G15)</f>
        <v>2500</v>
      </c>
      <c r="H16" s="16">
        <f t="shared" si="13"/>
        <v>2626</v>
      </c>
      <c r="I16" s="17">
        <f t="shared" si="1"/>
        <v>5.04E-2</v>
      </c>
      <c r="J16" s="23">
        <f>SUM(J5:J15)</f>
        <v>44934</v>
      </c>
      <c r="K16" s="16">
        <f t="shared" ref="K16:L16" si="14">SUM(K5:K15)</f>
        <v>42873</v>
      </c>
      <c r="L16" s="16">
        <f t="shared" si="14"/>
        <v>44607</v>
      </c>
      <c r="M16" s="24">
        <f t="shared" si="2"/>
        <v>4.0445035336925228E-2</v>
      </c>
      <c r="N16" s="16">
        <f>SUM(N5:N15)</f>
        <v>48005</v>
      </c>
      <c r="O16" s="16">
        <f t="shared" ref="O16:P16" si="15">SUM(O5:O15)</f>
        <v>46015</v>
      </c>
      <c r="P16" s="16">
        <f t="shared" si="15"/>
        <v>47851</v>
      </c>
      <c r="Q16" s="17">
        <f t="shared" si="4"/>
        <v>3.9900032598065849E-2</v>
      </c>
      <c r="R16" s="77">
        <f t="shared" si="5"/>
        <v>1.4331840433288199</v>
      </c>
      <c r="S16" s="78">
        <f t="shared" si="6"/>
        <v>1.3951972182983809</v>
      </c>
      <c r="T16" s="79">
        <f t="shared" si="7"/>
        <v>1.2915090593717999</v>
      </c>
      <c r="U16" s="78">
        <f t="shared" si="8"/>
        <v>4.9640662430996771</v>
      </c>
      <c r="V16" s="78">
        <f t="shared" si="9"/>
        <v>5.4330109746821691</v>
      </c>
      <c r="W16" s="78">
        <f t="shared" si="10"/>
        <v>5.4878685920879393</v>
      </c>
    </row>
    <row r="17" spans="1:1" s="12" customFormat="1" ht="12" customHeight="1" x14ac:dyDescent="0.2">
      <c r="A17" s="48" t="s">
        <v>365</v>
      </c>
    </row>
    <row r="18" spans="1:1" s="12" customFormat="1" ht="12" customHeight="1" x14ac:dyDescent="0.2"/>
    <row r="19" spans="1:1" s="12" customFormat="1" ht="12" customHeight="1" x14ac:dyDescent="0.2"/>
    <row r="20" spans="1:1" s="12" customFormat="1" ht="12" customHeight="1" x14ac:dyDescent="0.2"/>
    <row r="21" spans="1:1" s="12" customFormat="1" ht="12" customHeight="1" x14ac:dyDescent="0.2"/>
    <row r="22" spans="1:1" s="12" customFormat="1" ht="12" customHeight="1" x14ac:dyDescent="0.2"/>
    <row r="23" spans="1:1" s="12" customFormat="1" ht="12" customHeight="1" x14ac:dyDescent="0.2"/>
    <row r="24" spans="1:1" s="12" customFormat="1" ht="12" customHeight="1" x14ac:dyDescent="0.2"/>
    <row r="25" spans="1:1" s="12" customFormat="1" ht="12" customHeight="1" x14ac:dyDescent="0.2"/>
    <row r="26" spans="1:1" s="12" customFormat="1" ht="12" customHeight="1" x14ac:dyDescent="0.2"/>
    <row r="27" spans="1:1" s="12" customFormat="1" ht="12" customHeight="1" x14ac:dyDescent="0.2"/>
    <row r="28" spans="1:1" s="12" customFormat="1" ht="12" customHeight="1" x14ac:dyDescent="0.2"/>
    <row r="29" spans="1:1" s="12" customFormat="1" ht="12" customHeight="1" x14ac:dyDescent="0.2"/>
    <row r="30" spans="1:1" ht="12" customHeight="1" x14ac:dyDescent="0.25"/>
    <row r="31" spans="1:1" ht="12" customHeight="1" x14ac:dyDescent="0.25"/>
    <row r="32" spans="1:1" ht="12" customHeight="1" x14ac:dyDescent="0.25"/>
    <row r="33" ht="12" customHeight="1" x14ac:dyDescent="0.25"/>
  </sheetData>
  <mergeCells count="7">
    <mergeCell ref="R3:T3"/>
    <mergeCell ref="U3:W3"/>
    <mergeCell ref="A3:A4"/>
    <mergeCell ref="B3:E3"/>
    <mergeCell ref="F3:I3"/>
    <mergeCell ref="J3:M3"/>
    <mergeCell ref="N3:Q3"/>
  </mergeCells>
  <pageMargins left="0.25" right="0.25" top="0.75" bottom="0.75" header="0.3" footer="0.3"/>
  <pageSetup paperSize="9" scale="81" fitToHeight="2" orientation="portrait" horizontalDpi="300" verticalDpi="300" r:id="rId1"/>
  <headerFooter scaleWithDoc="0" alignWithMargins="0"/>
  <ignoredErrors>
    <ignoredError sqref="B16:D16 F16:H16 J16:L16 N16:Q16" formulaRange="1"/>
    <ignoredError sqref="E16 I16 M16" formula="1" formulaRange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05A0-04A9-4955-B371-DA44B5FDEACC}">
  <sheetPr codeName="Planilha18"/>
  <dimension ref="A1:Q33"/>
  <sheetViews>
    <sheetView showGridLines="0" zoomScale="120" zoomScaleNormal="120" zoomScaleSheetLayoutView="115" workbookViewId="0">
      <selection activeCell="F1" sqref="F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335</v>
      </c>
      <c r="B1" s="29"/>
      <c r="C1" s="29"/>
      <c r="D1" s="29"/>
      <c r="E1" s="29"/>
      <c r="F1" s="29"/>
      <c r="G1" s="33"/>
      <c r="H1" s="33"/>
      <c r="I1" s="33"/>
      <c r="J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92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89</v>
      </c>
      <c r="O3" s="216"/>
      <c r="P3" s="216"/>
      <c r="Q3" s="217"/>
    </row>
    <row r="4" spans="1:17" s="40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5">
        <v>2019</v>
      </c>
      <c r="G4" s="65">
        <v>2023</v>
      </c>
      <c r="H4" s="65">
        <v>2024</v>
      </c>
      <c r="I4" s="65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5">
        <v>2019</v>
      </c>
      <c r="O4" s="65">
        <v>2023</v>
      </c>
      <c r="P4" s="65">
        <v>2024</v>
      </c>
      <c r="Q4" s="66" t="s">
        <v>352</v>
      </c>
    </row>
    <row r="5" spans="1:17" s="40" customFormat="1" ht="12" customHeight="1" x14ac:dyDescent="0.2">
      <c r="A5" s="25" t="s">
        <v>94</v>
      </c>
      <c r="B5" s="155">
        <v>182</v>
      </c>
      <c r="C5" s="155">
        <v>131</v>
      </c>
      <c r="D5" s="155">
        <v>121</v>
      </c>
      <c r="E5" s="80">
        <f t="shared" ref="E5" si="0">D5/C5-1</f>
        <v>-7.6335877862595436E-2</v>
      </c>
      <c r="F5" s="155">
        <v>604</v>
      </c>
      <c r="G5" s="155">
        <v>589</v>
      </c>
      <c r="H5" s="155">
        <v>691</v>
      </c>
      <c r="I5" s="81">
        <f t="shared" ref="I5" si="1">H5/G5-1</f>
        <v>0.17317487266553488</v>
      </c>
      <c r="J5" s="156">
        <v>19276</v>
      </c>
      <c r="K5" s="156">
        <v>17480</v>
      </c>
      <c r="L5" s="156">
        <v>18079</v>
      </c>
      <c r="M5" s="80">
        <f t="shared" ref="M5:M7" si="2">L5/K5-1</f>
        <v>3.4267734553775853E-2</v>
      </c>
      <c r="N5" s="68">
        <f t="shared" ref="N5:N7" si="3">B5+F5+J5</f>
        <v>20062</v>
      </c>
      <c r="O5" s="68">
        <f t="shared" ref="O5:P7" si="4">C5+G5+K5</f>
        <v>18200</v>
      </c>
      <c r="P5" s="68">
        <f t="shared" si="4"/>
        <v>18891</v>
      </c>
      <c r="Q5" s="81">
        <f t="shared" ref="Q5:Q7" si="5">P5/O5-1</f>
        <v>3.7967032967032965E-2</v>
      </c>
    </row>
    <row r="6" spans="1:17" s="40" customFormat="1" ht="12" customHeight="1" x14ac:dyDescent="0.2">
      <c r="A6" s="25" t="s">
        <v>93</v>
      </c>
      <c r="B6" s="154">
        <v>505</v>
      </c>
      <c r="C6" s="154">
        <v>510</v>
      </c>
      <c r="D6" s="154">
        <v>497</v>
      </c>
      <c r="E6" s="22">
        <v>-2.5490196078431393E-2</v>
      </c>
      <c r="F6" s="157">
        <v>1775</v>
      </c>
      <c r="G6" s="157">
        <v>1911</v>
      </c>
      <c r="H6" s="157">
        <v>1935</v>
      </c>
      <c r="I6" s="15">
        <v>1.2558869701726927E-2</v>
      </c>
      <c r="J6" s="157">
        <v>25642</v>
      </c>
      <c r="K6" s="157">
        <v>25389</v>
      </c>
      <c r="L6" s="157">
        <v>26517</v>
      </c>
      <c r="M6" s="22">
        <v>4.4428689589979919E-2</v>
      </c>
      <c r="N6" s="13">
        <v>27922</v>
      </c>
      <c r="O6" s="13">
        <v>27810</v>
      </c>
      <c r="P6" s="13">
        <v>28949</v>
      </c>
      <c r="Q6" s="15">
        <v>4.0956490471053542E-2</v>
      </c>
    </row>
    <row r="7" spans="1:17" s="40" customFormat="1" ht="12" customHeight="1" x14ac:dyDescent="0.2">
      <c r="A7" s="25" t="s">
        <v>70</v>
      </c>
      <c r="B7" s="154">
        <v>1</v>
      </c>
      <c r="C7" s="154">
        <v>1</v>
      </c>
      <c r="D7" s="154">
        <v>0</v>
      </c>
      <c r="E7" s="22" t="s">
        <v>62</v>
      </c>
      <c r="F7" s="154">
        <v>4</v>
      </c>
      <c r="G7" s="154">
        <v>0</v>
      </c>
      <c r="H7" s="154">
        <v>0</v>
      </c>
      <c r="I7" s="15" t="s">
        <v>62</v>
      </c>
      <c r="J7" s="154">
        <v>16</v>
      </c>
      <c r="K7" s="154">
        <v>4</v>
      </c>
      <c r="L7" s="154">
        <v>11</v>
      </c>
      <c r="M7" s="22">
        <f t="shared" si="2"/>
        <v>1.75</v>
      </c>
      <c r="N7" s="13">
        <f t="shared" si="3"/>
        <v>21</v>
      </c>
      <c r="O7" s="13">
        <f t="shared" si="4"/>
        <v>5</v>
      </c>
      <c r="P7" s="13">
        <f t="shared" si="4"/>
        <v>11</v>
      </c>
      <c r="Q7" s="15">
        <f t="shared" si="5"/>
        <v>1.2000000000000002</v>
      </c>
    </row>
    <row r="8" spans="1:17" s="40" customFormat="1" ht="12" customHeight="1" thickBot="1" x14ac:dyDescent="0.25">
      <c r="A8" s="27" t="s">
        <v>0</v>
      </c>
      <c r="B8" s="23">
        <f>SUM(B5:B7)</f>
        <v>688</v>
      </c>
      <c r="C8" s="16">
        <f>SUM(C5:C7)</f>
        <v>642</v>
      </c>
      <c r="D8" s="16">
        <f>SUM(D5:D7)</f>
        <v>618</v>
      </c>
      <c r="E8" s="24">
        <f t="shared" ref="E8" si="6">D8/C8-1</f>
        <v>-3.7383177570093462E-2</v>
      </c>
      <c r="F8" s="16">
        <f>SUM(F5:F7)</f>
        <v>2383</v>
      </c>
      <c r="G8" s="16">
        <f>SUM(G5:G7)</f>
        <v>2500</v>
      </c>
      <c r="H8" s="16">
        <f>SUM(H5:H7)</f>
        <v>2626</v>
      </c>
      <c r="I8" s="17">
        <f t="shared" ref="I8" si="7">H8/G8-1</f>
        <v>5.04E-2</v>
      </c>
      <c r="J8" s="23">
        <f>SUM(J5:J7)</f>
        <v>44934</v>
      </c>
      <c r="K8" s="16">
        <f>SUM(K5:K7)</f>
        <v>42873</v>
      </c>
      <c r="L8" s="16">
        <f>SUM(L5:L7)</f>
        <v>44607</v>
      </c>
      <c r="M8" s="24">
        <f t="shared" ref="M8" si="8">L8/K8-1</f>
        <v>4.0445035336925228E-2</v>
      </c>
      <c r="N8" s="16">
        <f>SUM(N5:N7)</f>
        <v>48005</v>
      </c>
      <c r="O8" s="16">
        <f>SUM(O5:O7)</f>
        <v>46015</v>
      </c>
      <c r="P8" s="16">
        <f>SUM(P5:P7)</f>
        <v>47851</v>
      </c>
      <c r="Q8" s="17">
        <f t="shared" ref="Q8" si="9">P8/O8-1</f>
        <v>3.9900032598065849E-2</v>
      </c>
    </row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>
      <c r="D12" s="211"/>
      <c r="E12" s="211"/>
      <c r="F12" s="211"/>
      <c r="G12" s="211"/>
      <c r="H12" s="211"/>
      <c r="I12" s="211"/>
      <c r="J12" s="211"/>
      <c r="K12" s="211"/>
      <c r="L12" s="211"/>
    </row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6" orientation="portrait" r:id="rId1"/>
  <ignoredErrors>
    <ignoredError sqref="B8:D8 Q8 F8:H8" formulaRange="1"/>
    <ignoredError sqref="I8:P8 E8" formula="1" formulaRange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41DA-23AE-4099-97B7-4F4725D2371F}">
  <sheetPr codeName="Planilha19">
    <tabColor theme="0" tint="-4.9989318521683403E-2"/>
  </sheetPr>
  <dimension ref="A1:Q34"/>
  <sheetViews>
    <sheetView showGridLines="0" zoomScale="120" zoomScaleNormal="120" zoomScaleSheetLayoutView="130" workbookViewId="0">
      <selection activeCell="G1" sqref="G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336</v>
      </c>
      <c r="B1" s="29"/>
      <c r="C1" s="29"/>
      <c r="D1" s="29"/>
      <c r="E1" s="29"/>
      <c r="F1" s="29"/>
    </row>
    <row r="2" spans="1:17" s="40" customFormat="1" ht="25.2" customHeight="1" thickBot="1" x14ac:dyDescent="0.25"/>
    <row r="3" spans="1:17" s="40" customFormat="1" ht="13.95" customHeight="1" x14ac:dyDescent="0.2">
      <c r="A3" s="213" t="s">
        <v>95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89</v>
      </c>
      <c r="O3" s="216"/>
      <c r="P3" s="216"/>
      <c r="Q3" s="217"/>
    </row>
    <row r="4" spans="1:17" s="40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5">
        <v>2019</v>
      </c>
      <c r="G4" s="65">
        <v>2023</v>
      </c>
      <c r="H4" s="65">
        <v>2024</v>
      </c>
      <c r="I4" s="65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5">
        <v>2019</v>
      </c>
      <c r="O4" s="65">
        <v>2023</v>
      </c>
      <c r="P4" s="65">
        <v>2024</v>
      </c>
      <c r="Q4" s="66" t="s">
        <v>352</v>
      </c>
    </row>
    <row r="5" spans="1:17" s="40" customFormat="1" ht="12" customHeight="1" x14ac:dyDescent="0.2">
      <c r="A5" s="25" t="s">
        <v>96</v>
      </c>
      <c r="B5" s="155">
        <v>14</v>
      </c>
      <c r="C5" s="155">
        <v>11</v>
      </c>
      <c r="D5" s="155">
        <v>9</v>
      </c>
      <c r="E5" s="80">
        <f t="shared" ref="E5:E19" si="0">D5/C5-1</f>
        <v>-0.18181818181818177</v>
      </c>
      <c r="F5" s="155">
        <v>91</v>
      </c>
      <c r="G5" s="155">
        <v>75</v>
      </c>
      <c r="H5" s="155">
        <v>82</v>
      </c>
      <c r="I5" s="81">
        <f t="shared" ref="I5:I19" si="1">H5/G5-1</f>
        <v>9.3333333333333268E-2</v>
      </c>
      <c r="J5" s="156">
        <v>2435</v>
      </c>
      <c r="K5" s="156">
        <v>2201</v>
      </c>
      <c r="L5" s="156">
        <v>2135</v>
      </c>
      <c r="M5" s="80">
        <f t="shared" ref="M5:M20" si="2">L5/K5-1</f>
        <v>-2.9986369831894621E-2</v>
      </c>
      <c r="N5" s="68">
        <f t="shared" ref="N5:P20" si="3">B5+F5+J5</f>
        <v>2540</v>
      </c>
      <c r="O5" s="68">
        <f t="shared" si="3"/>
        <v>2287</v>
      </c>
      <c r="P5" s="68">
        <f t="shared" si="3"/>
        <v>2226</v>
      </c>
      <c r="Q5" s="81">
        <f t="shared" ref="Q5:Q20" si="4">P5/O5-1</f>
        <v>-2.6672496720594685E-2</v>
      </c>
    </row>
    <row r="6" spans="1:17" s="40" customFormat="1" ht="12" customHeight="1" x14ac:dyDescent="0.2">
      <c r="A6" s="25" t="s">
        <v>252</v>
      </c>
      <c r="B6" s="154">
        <v>24</v>
      </c>
      <c r="C6" s="154">
        <v>34</v>
      </c>
      <c r="D6" s="154">
        <v>30</v>
      </c>
      <c r="E6" s="22">
        <f t="shared" si="0"/>
        <v>-0.11764705882352944</v>
      </c>
      <c r="F6" s="154">
        <v>133</v>
      </c>
      <c r="G6" s="154">
        <v>171</v>
      </c>
      <c r="H6" s="154">
        <v>185</v>
      </c>
      <c r="I6" s="15">
        <f t="shared" si="1"/>
        <v>8.1871345029239873E-2</v>
      </c>
      <c r="J6" s="157">
        <v>3336</v>
      </c>
      <c r="K6" s="157">
        <v>3292</v>
      </c>
      <c r="L6" s="157">
        <v>3511</v>
      </c>
      <c r="M6" s="22">
        <f t="shared" si="2"/>
        <v>6.6524908869987742E-2</v>
      </c>
      <c r="N6" s="13">
        <f t="shared" si="3"/>
        <v>3493</v>
      </c>
      <c r="O6" s="13">
        <f t="shared" si="3"/>
        <v>3497</v>
      </c>
      <c r="P6" s="13">
        <f t="shared" si="3"/>
        <v>3726</v>
      </c>
      <c r="Q6" s="15">
        <f t="shared" si="4"/>
        <v>6.5484701172433546E-2</v>
      </c>
    </row>
    <row r="7" spans="1:17" s="40" customFormat="1" ht="12" customHeight="1" x14ac:dyDescent="0.2">
      <c r="A7" s="25" t="s">
        <v>253</v>
      </c>
      <c r="B7" s="154">
        <v>58</v>
      </c>
      <c r="C7" s="154">
        <v>48</v>
      </c>
      <c r="D7" s="154">
        <v>61</v>
      </c>
      <c r="E7" s="22">
        <f t="shared" si="0"/>
        <v>0.27083333333333326</v>
      </c>
      <c r="F7" s="154">
        <v>219</v>
      </c>
      <c r="G7" s="154">
        <v>262</v>
      </c>
      <c r="H7" s="154">
        <v>275</v>
      </c>
      <c r="I7" s="15">
        <f t="shared" si="1"/>
        <v>4.961832061068705E-2</v>
      </c>
      <c r="J7" s="157">
        <v>5039</v>
      </c>
      <c r="K7" s="157">
        <v>4697</v>
      </c>
      <c r="L7" s="157">
        <v>4993</v>
      </c>
      <c r="M7" s="22">
        <f t="shared" si="2"/>
        <v>6.3018948264849994E-2</v>
      </c>
      <c r="N7" s="13">
        <f t="shared" si="3"/>
        <v>5316</v>
      </c>
      <c r="O7" s="13">
        <f t="shared" si="3"/>
        <v>5007</v>
      </c>
      <c r="P7" s="13">
        <f t="shared" si="3"/>
        <v>5329</v>
      </c>
      <c r="Q7" s="15">
        <f t="shared" si="4"/>
        <v>6.4309966047533473E-2</v>
      </c>
    </row>
    <row r="8" spans="1:17" s="40" customFormat="1" ht="12" customHeight="1" x14ac:dyDescent="0.2">
      <c r="A8" s="25" t="s">
        <v>254</v>
      </c>
      <c r="B8" s="154">
        <v>46</v>
      </c>
      <c r="C8" s="154">
        <v>48</v>
      </c>
      <c r="D8" s="154">
        <v>50</v>
      </c>
      <c r="E8" s="22">
        <f t="shared" si="0"/>
        <v>4.1666666666666741E-2</v>
      </c>
      <c r="F8" s="154">
        <v>218</v>
      </c>
      <c r="G8" s="154">
        <v>236</v>
      </c>
      <c r="H8" s="154">
        <v>245</v>
      </c>
      <c r="I8" s="15">
        <f t="shared" si="1"/>
        <v>3.8135593220338881E-2</v>
      </c>
      <c r="J8" s="157">
        <v>4156</v>
      </c>
      <c r="K8" s="157">
        <v>4217</v>
      </c>
      <c r="L8" s="157">
        <v>4603</v>
      </c>
      <c r="M8" s="22">
        <f t="shared" si="2"/>
        <v>9.1534266065923742E-2</v>
      </c>
      <c r="N8" s="13">
        <f t="shared" si="3"/>
        <v>4420</v>
      </c>
      <c r="O8" s="13">
        <f t="shared" si="3"/>
        <v>4501</v>
      </c>
      <c r="P8" s="13">
        <f t="shared" si="3"/>
        <v>4898</v>
      </c>
      <c r="Q8" s="15">
        <f t="shared" si="4"/>
        <v>8.8202621639635659E-2</v>
      </c>
    </row>
    <row r="9" spans="1:17" s="40" customFormat="1" ht="12" customHeight="1" x14ac:dyDescent="0.2">
      <c r="A9" s="25" t="s">
        <v>255</v>
      </c>
      <c r="B9" s="154">
        <v>38</v>
      </c>
      <c r="C9" s="154">
        <v>36</v>
      </c>
      <c r="D9" s="154">
        <v>40</v>
      </c>
      <c r="E9" s="22">
        <f t="shared" si="0"/>
        <v>0.11111111111111116</v>
      </c>
      <c r="F9" s="154">
        <v>192</v>
      </c>
      <c r="G9" s="154">
        <v>207</v>
      </c>
      <c r="H9" s="154">
        <v>236</v>
      </c>
      <c r="I9" s="15">
        <f t="shared" si="1"/>
        <v>0.14009661835748788</v>
      </c>
      <c r="J9" s="157">
        <v>3616</v>
      </c>
      <c r="K9" s="157">
        <v>3569</v>
      </c>
      <c r="L9" s="157">
        <v>3795</v>
      </c>
      <c r="M9" s="22">
        <f t="shared" si="2"/>
        <v>6.3323059680582716E-2</v>
      </c>
      <c r="N9" s="13">
        <f t="shared" si="3"/>
        <v>3846</v>
      </c>
      <c r="O9" s="13">
        <f t="shared" si="3"/>
        <v>3812</v>
      </c>
      <c r="P9" s="13">
        <f t="shared" si="3"/>
        <v>4071</v>
      </c>
      <c r="Q9" s="15">
        <f t="shared" si="4"/>
        <v>6.7943336831059797E-2</v>
      </c>
    </row>
    <row r="10" spans="1:17" s="40" customFormat="1" ht="12" customHeight="1" x14ac:dyDescent="0.2">
      <c r="A10" s="25" t="s">
        <v>256</v>
      </c>
      <c r="B10" s="154">
        <v>47</v>
      </c>
      <c r="C10" s="154">
        <v>41</v>
      </c>
      <c r="D10" s="154">
        <v>34</v>
      </c>
      <c r="E10" s="22">
        <f t="shared" si="0"/>
        <v>-0.17073170731707321</v>
      </c>
      <c r="F10" s="154">
        <v>199</v>
      </c>
      <c r="G10" s="154">
        <v>173</v>
      </c>
      <c r="H10" s="154">
        <v>200</v>
      </c>
      <c r="I10" s="15">
        <f t="shared" si="1"/>
        <v>0.1560693641618498</v>
      </c>
      <c r="J10" s="157">
        <v>3389</v>
      </c>
      <c r="K10" s="157">
        <v>3242</v>
      </c>
      <c r="L10" s="157">
        <v>3200</v>
      </c>
      <c r="M10" s="22">
        <f t="shared" si="2"/>
        <v>-1.2954966070326979E-2</v>
      </c>
      <c r="N10" s="13">
        <f t="shared" si="3"/>
        <v>3635</v>
      </c>
      <c r="O10" s="13">
        <f t="shared" si="3"/>
        <v>3456</v>
      </c>
      <c r="P10" s="13">
        <f t="shared" si="3"/>
        <v>3434</v>
      </c>
      <c r="Q10" s="15">
        <f t="shared" si="4"/>
        <v>-6.3657407407406996E-3</v>
      </c>
    </row>
    <row r="11" spans="1:17" s="40" customFormat="1" ht="12" customHeight="1" x14ac:dyDescent="0.2">
      <c r="A11" s="25" t="s">
        <v>257</v>
      </c>
      <c r="B11" s="154">
        <v>42</v>
      </c>
      <c r="C11" s="154">
        <v>44</v>
      </c>
      <c r="D11" s="154">
        <v>46</v>
      </c>
      <c r="E11" s="22">
        <f t="shared" si="0"/>
        <v>4.5454545454545414E-2</v>
      </c>
      <c r="F11" s="154">
        <v>219</v>
      </c>
      <c r="G11" s="154">
        <v>191</v>
      </c>
      <c r="H11" s="154">
        <v>189</v>
      </c>
      <c r="I11" s="15">
        <f t="shared" si="1"/>
        <v>-1.0471204188481686E-2</v>
      </c>
      <c r="J11" s="157">
        <v>3718</v>
      </c>
      <c r="K11" s="157">
        <v>3151</v>
      </c>
      <c r="L11" s="157">
        <v>3274</v>
      </c>
      <c r="M11" s="22">
        <f t="shared" si="2"/>
        <v>3.9035226912091492E-2</v>
      </c>
      <c r="N11" s="13">
        <f t="shared" si="3"/>
        <v>3979</v>
      </c>
      <c r="O11" s="13">
        <f t="shared" si="3"/>
        <v>3386</v>
      </c>
      <c r="P11" s="13">
        <f t="shared" si="3"/>
        <v>3509</v>
      </c>
      <c r="Q11" s="15">
        <f t="shared" si="4"/>
        <v>3.6326048434731195E-2</v>
      </c>
    </row>
    <row r="12" spans="1:17" s="40" customFormat="1" ht="12" customHeight="1" x14ac:dyDescent="0.2">
      <c r="A12" s="25" t="s">
        <v>258</v>
      </c>
      <c r="B12" s="154">
        <v>54</v>
      </c>
      <c r="C12" s="154">
        <v>43</v>
      </c>
      <c r="D12" s="154">
        <v>51</v>
      </c>
      <c r="E12" s="22">
        <f t="shared" si="0"/>
        <v>0.18604651162790709</v>
      </c>
      <c r="F12" s="154">
        <v>161</v>
      </c>
      <c r="G12" s="154">
        <v>226</v>
      </c>
      <c r="H12" s="154">
        <v>213</v>
      </c>
      <c r="I12" s="15">
        <f t="shared" si="1"/>
        <v>-5.7522123893805288E-2</v>
      </c>
      <c r="J12" s="157">
        <v>3479</v>
      </c>
      <c r="K12" s="157">
        <v>3354</v>
      </c>
      <c r="L12" s="157">
        <v>3372</v>
      </c>
      <c r="M12" s="22">
        <f t="shared" si="2"/>
        <v>5.3667262969587792E-3</v>
      </c>
      <c r="N12" s="13">
        <f t="shared" si="3"/>
        <v>3694</v>
      </c>
      <c r="O12" s="13">
        <f t="shared" si="3"/>
        <v>3623</v>
      </c>
      <c r="P12" s="13">
        <f t="shared" si="3"/>
        <v>3636</v>
      </c>
      <c r="Q12" s="15">
        <f t="shared" si="4"/>
        <v>3.5881865857023687E-3</v>
      </c>
    </row>
    <row r="13" spans="1:17" s="40" customFormat="1" ht="12" customHeight="1" x14ac:dyDescent="0.2">
      <c r="A13" s="25" t="s">
        <v>259</v>
      </c>
      <c r="B13" s="154">
        <v>37</v>
      </c>
      <c r="C13" s="154">
        <v>59</v>
      </c>
      <c r="D13" s="154">
        <v>38</v>
      </c>
      <c r="E13" s="22">
        <f t="shared" si="0"/>
        <v>-0.35593220338983056</v>
      </c>
      <c r="F13" s="154">
        <v>163</v>
      </c>
      <c r="G13" s="154">
        <v>178</v>
      </c>
      <c r="H13" s="154">
        <v>214</v>
      </c>
      <c r="I13" s="15">
        <f t="shared" si="1"/>
        <v>0.202247191011236</v>
      </c>
      <c r="J13" s="157">
        <v>3148</v>
      </c>
      <c r="K13" s="157">
        <v>3120</v>
      </c>
      <c r="L13" s="157">
        <v>3152</v>
      </c>
      <c r="M13" s="22">
        <f t="shared" si="2"/>
        <v>1.025641025641022E-2</v>
      </c>
      <c r="N13" s="13">
        <f t="shared" si="3"/>
        <v>3348</v>
      </c>
      <c r="O13" s="13">
        <f t="shared" si="3"/>
        <v>3357</v>
      </c>
      <c r="P13" s="13">
        <f t="shared" si="3"/>
        <v>3404</v>
      </c>
      <c r="Q13" s="15">
        <f t="shared" si="4"/>
        <v>1.4000595770032875E-2</v>
      </c>
    </row>
    <row r="14" spans="1:17" s="40" customFormat="1" ht="12" customHeight="1" x14ac:dyDescent="0.2">
      <c r="A14" s="25" t="s">
        <v>260</v>
      </c>
      <c r="B14" s="154">
        <v>35</v>
      </c>
      <c r="C14" s="154">
        <v>39</v>
      </c>
      <c r="D14" s="154">
        <v>40</v>
      </c>
      <c r="E14" s="22">
        <f t="shared" si="0"/>
        <v>2.564102564102555E-2</v>
      </c>
      <c r="F14" s="154">
        <v>151</v>
      </c>
      <c r="G14" s="154">
        <v>179</v>
      </c>
      <c r="H14" s="154">
        <v>158</v>
      </c>
      <c r="I14" s="15">
        <f t="shared" si="1"/>
        <v>-0.11731843575418999</v>
      </c>
      <c r="J14" s="157">
        <v>3049</v>
      </c>
      <c r="K14" s="157">
        <v>2677</v>
      </c>
      <c r="L14" s="157">
        <v>2865</v>
      </c>
      <c r="M14" s="22">
        <f t="shared" si="2"/>
        <v>7.0227867015315582E-2</v>
      </c>
      <c r="N14" s="13">
        <f t="shared" si="3"/>
        <v>3235</v>
      </c>
      <c r="O14" s="13">
        <f t="shared" si="3"/>
        <v>2895</v>
      </c>
      <c r="P14" s="13">
        <f t="shared" si="3"/>
        <v>3063</v>
      </c>
      <c r="Q14" s="15">
        <f t="shared" si="4"/>
        <v>5.8031088082901583E-2</v>
      </c>
    </row>
    <row r="15" spans="1:17" s="40" customFormat="1" ht="12" customHeight="1" x14ac:dyDescent="0.2">
      <c r="A15" s="25" t="s">
        <v>261</v>
      </c>
      <c r="B15" s="154">
        <v>47</v>
      </c>
      <c r="C15" s="154">
        <v>43</v>
      </c>
      <c r="D15" s="154">
        <v>38</v>
      </c>
      <c r="E15" s="22">
        <f t="shared" si="0"/>
        <v>-0.11627906976744184</v>
      </c>
      <c r="F15" s="154">
        <v>145</v>
      </c>
      <c r="G15" s="154">
        <v>157</v>
      </c>
      <c r="H15" s="154">
        <v>168</v>
      </c>
      <c r="I15" s="15">
        <f t="shared" si="1"/>
        <v>7.0063694267515908E-2</v>
      </c>
      <c r="J15" s="157">
        <v>2506</v>
      </c>
      <c r="K15" s="157">
        <v>2461</v>
      </c>
      <c r="L15" s="157">
        <v>2640</v>
      </c>
      <c r="M15" s="22">
        <f t="shared" si="2"/>
        <v>7.2734660707029608E-2</v>
      </c>
      <c r="N15" s="13">
        <f t="shared" si="3"/>
        <v>2698</v>
      </c>
      <c r="O15" s="13">
        <f t="shared" si="3"/>
        <v>2661</v>
      </c>
      <c r="P15" s="13">
        <f t="shared" si="3"/>
        <v>2846</v>
      </c>
      <c r="Q15" s="15">
        <f t="shared" si="4"/>
        <v>6.9522735813603909E-2</v>
      </c>
    </row>
    <row r="16" spans="1:17" s="40" customFormat="1" ht="12" customHeight="1" x14ac:dyDescent="0.2">
      <c r="A16" s="25" t="s">
        <v>262</v>
      </c>
      <c r="B16" s="154">
        <v>60</v>
      </c>
      <c r="C16" s="154">
        <v>51</v>
      </c>
      <c r="D16" s="154">
        <v>46</v>
      </c>
      <c r="E16" s="22">
        <f t="shared" si="0"/>
        <v>-9.8039215686274495E-2</v>
      </c>
      <c r="F16" s="154">
        <v>147</v>
      </c>
      <c r="G16" s="154">
        <v>130</v>
      </c>
      <c r="H16" s="154">
        <v>125</v>
      </c>
      <c r="I16" s="15">
        <f t="shared" si="1"/>
        <v>-3.8461538461538436E-2</v>
      </c>
      <c r="J16" s="157">
        <v>1999</v>
      </c>
      <c r="K16" s="157">
        <v>2008</v>
      </c>
      <c r="L16" s="157">
        <v>2119</v>
      </c>
      <c r="M16" s="22">
        <f t="shared" si="2"/>
        <v>5.5278884462151456E-2</v>
      </c>
      <c r="N16" s="13">
        <f t="shared" si="3"/>
        <v>2206</v>
      </c>
      <c r="O16" s="13">
        <f t="shared" si="3"/>
        <v>2189</v>
      </c>
      <c r="P16" s="13">
        <f t="shared" si="3"/>
        <v>2290</v>
      </c>
      <c r="Q16" s="15">
        <f t="shared" si="4"/>
        <v>4.6139789858382851E-2</v>
      </c>
    </row>
    <row r="17" spans="1:17" s="40" customFormat="1" ht="12" customHeight="1" x14ac:dyDescent="0.2">
      <c r="A17" s="25" t="s">
        <v>263</v>
      </c>
      <c r="B17" s="154">
        <v>59</v>
      </c>
      <c r="C17" s="154">
        <v>28</v>
      </c>
      <c r="D17" s="154">
        <v>48</v>
      </c>
      <c r="E17" s="22">
        <f t="shared" si="0"/>
        <v>0.71428571428571419</v>
      </c>
      <c r="F17" s="154">
        <v>122</v>
      </c>
      <c r="G17" s="154">
        <v>103</v>
      </c>
      <c r="H17" s="154">
        <v>137</v>
      </c>
      <c r="I17" s="15">
        <f t="shared" si="1"/>
        <v>0.33009708737864085</v>
      </c>
      <c r="J17" s="157">
        <v>1816</v>
      </c>
      <c r="K17" s="157">
        <v>1778</v>
      </c>
      <c r="L17" s="157">
        <v>1720</v>
      </c>
      <c r="M17" s="22">
        <f t="shared" si="2"/>
        <v>-3.2620922384701934E-2</v>
      </c>
      <c r="N17" s="13">
        <f t="shared" si="3"/>
        <v>1997</v>
      </c>
      <c r="O17" s="13">
        <f t="shared" si="3"/>
        <v>1909</v>
      </c>
      <c r="P17" s="13">
        <f t="shared" si="3"/>
        <v>1905</v>
      </c>
      <c r="Q17" s="15">
        <f t="shared" si="4"/>
        <v>-2.0953378732320171E-3</v>
      </c>
    </row>
    <row r="18" spans="1:17" s="40" customFormat="1" ht="12" customHeight="1" x14ac:dyDescent="0.2">
      <c r="A18" s="25" t="s">
        <v>356</v>
      </c>
      <c r="B18" s="154">
        <v>51</v>
      </c>
      <c r="C18" s="154">
        <v>47</v>
      </c>
      <c r="D18" s="154">
        <v>26</v>
      </c>
      <c r="E18" s="22">
        <f t="shared" si="0"/>
        <v>-0.44680851063829785</v>
      </c>
      <c r="F18" s="154">
        <v>93</v>
      </c>
      <c r="G18" s="154">
        <v>109</v>
      </c>
      <c r="H18" s="154">
        <v>86</v>
      </c>
      <c r="I18" s="15">
        <f t="shared" si="1"/>
        <v>-0.21100917431192656</v>
      </c>
      <c r="J18" s="157">
        <v>1467</v>
      </c>
      <c r="K18" s="157">
        <v>1438</v>
      </c>
      <c r="L18" s="157">
        <v>1486</v>
      </c>
      <c r="M18" s="22">
        <f t="shared" si="2"/>
        <v>3.3379694019471495E-2</v>
      </c>
      <c r="N18" s="13">
        <f t="shared" si="3"/>
        <v>1611</v>
      </c>
      <c r="O18" s="13">
        <f t="shared" si="3"/>
        <v>1594</v>
      </c>
      <c r="P18" s="13">
        <f t="shared" si="3"/>
        <v>1598</v>
      </c>
      <c r="Q18" s="15">
        <f t="shared" si="4"/>
        <v>2.5094102885820924E-3</v>
      </c>
    </row>
    <row r="19" spans="1:17" s="40" customFormat="1" ht="12" customHeight="1" x14ac:dyDescent="0.2">
      <c r="A19" s="25" t="s">
        <v>355</v>
      </c>
      <c r="B19" s="154">
        <v>74</v>
      </c>
      <c r="C19" s="154">
        <v>70</v>
      </c>
      <c r="D19" s="154">
        <v>61</v>
      </c>
      <c r="E19" s="22">
        <f t="shared" si="0"/>
        <v>-0.12857142857142856</v>
      </c>
      <c r="F19" s="154">
        <v>124</v>
      </c>
      <c r="G19" s="154">
        <v>103</v>
      </c>
      <c r="H19" s="154">
        <v>113</v>
      </c>
      <c r="I19" s="15">
        <f t="shared" si="1"/>
        <v>9.7087378640776656E-2</v>
      </c>
      <c r="J19" s="157">
        <v>1740</v>
      </c>
      <c r="K19" s="157">
        <v>1665</v>
      </c>
      <c r="L19" s="157">
        <v>1738</v>
      </c>
      <c r="M19" s="22">
        <f t="shared" si="2"/>
        <v>4.3843843843843766E-2</v>
      </c>
      <c r="N19" s="13">
        <f t="shared" ref="N19" si="5">B19+F19+J19</f>
        <v>1938</v>
      </c>
      <c r="O19" s="13">
        <f t="shared" ref="O19" si="6">C19+G19+K19</f>
        <v>1838</v>
      </c>
      <c r="P19" s="13">
        <f t="shared" ref="P19" si="7">D19+H19+L19</f>
        <v>1912</v>
      </c>
      <c r="Q19" s="15">
        <f t="shared" ref="Q19" si="8">P19/O19-1</f>
        <v>4.0261153427638696E-2</v>
      </c>
    </row>
    <row r="20" spans="1:17" s="40" customFormat="1" ht="12" customHeight="1" x14ac:dyDescent="0.2">
      <c r="A20" s="25" t="s">
        <v>70</v>
      </c>
      <c r="B20" s="154">
        <v>2</v>
      </c>
      <c r="C20" s="154">
        <v>0</v>
      </c>
      <c r="D20" s="154">
        <v>0</v>
      </c>
      <c r="E20" s="22" t="s">
        <v>62</v>
      </c>
      <c r="F20" s="154">
        <v>6</v>
      </c>
      <c r="G20" s="154">
        <v>0</v>
      </c>
      <c r="H20" s="154">
        <v>0</v>
      </c>
      <c r="I20" s="15" t="s">
        <v>62</v>
      </c>
      <c r="J20" s="157">
        <v>41</v>
      </c>
      <c r="K20" s="157">
        <v>3</v>
      </c>
      <c r="L20" s="157">
        <v>4</v>
      </c>
      <c r="M20" s="22">
        <f t="shared" si="2"/>
        <v>0.33333333333333326</v>
      </c>
      <c r="N20" s="13">
        <f t="shared" si="3"/>
        <v>49</v>
      </c>
      <c r="O20" s="13">
        <f t="shared" si="3"/>
        <v>3</v>
      </c>
      <c r="P20" s="13">
        <f t="shared" si="3"/>
        <v>4</v>
      </c>
      <c r="Q20" s="15">
        <f t="shared" si="4"/>
        <v>0.33333333333333326</v>
      </c>
    </row>
    <row r="21" spans="1:17" s="40" customFormat="1" ht="12" customHeight="1" thickBot="1" x14ac:dyDescent="0.25">
      <c r="A21" s="27" t="s">
        <v>0</v>
      </c>
      <c r="B21" s="23">
        <f>SUM(B5:B20)</f>
        <v>688</v>
      </c>
      <c r="C21" s="16">
        <f t="shared" ref="C21:D21" si="9">SUM(C5:C20)</f>
        <v>642</v>
      </c>
      <c r="D21" s="16">
        <f t="shared" si="9"/>
        <v>618</v>
      </c>
      <c r="E21" s="24">
        <f>D21/C21-1</f>
        <v>-3.7383177570093462E-2</v>
      </c>
      <c r="F21" s="16">
        <f t="shared" ref="F21:H21" si="10">SUM(F5:F20)</f>
        <v>2383</v>
      </c>
      <c r="G21" s="16">
        <f t="shared" si="10"/>
        <v>2500</v>
      </c>
      <c r="H21" s="16">
        <f t="shared" si="10"/>
        <v>2626</v>
      </c>
      <c r="I21" s="17">
        <f>H21/G21-1</f>
        <v>5.04E-2</v>
      </c>
      <c r="J21" s="23">
        <f t="shared" ref="J21:L21" si="11">SUM(J5:J20)</f>
        <v>44934</v>
      </c>
      <c r="K21" s="16">
        <f t="shared" si="11"/>
        <v>42873</v>
      </c>
      <c r="L21" s="16">
        <f t="shared" si="11"/>
        <v>44607</v>
      </c>
      <c r="M21" s="24">
        <f>L21/K21-1</f>
        <v>4.0445035336925228E-2</v>
      </c>
      <c r="N21" s="16">
        <f t="shared" ref="N21:P21" si="12">SUM(N5:N20)</f>
        <v>48005</v>
      </c>
      <c r="O21" s="16">
        <f t="shared" si="12"/>
        <v>46015</v>
      </c>
      <c r="P21" s="16">
        <f t="shared" si="12"/>
        <v>47851</v>
      </c>
      <c r="Q21" s="17">
        <f>P21/O21-1</f>
        <v>3.9900032598065849E-2</v>
      </c>
    </row>
    <row r="22" spans="1:17" s="40" customFormat="1" ht="12" customHeight="1" x14ac:dyDescent="0.2">
      <c r="A22" s="40" t="s">
        <v>338</v>
      </c>
    </row>
    <row r="23" spans="1:17" s="40" customFormat="1" ht="12" customHeight="1" x14ac:dyDescent="0.2"/>
    <row r="24" spans="1:17" s="40" customFormat="1" ht="12" customHeight="1" x14ac:dyDescent="0.2"/>
    <row r="25" spans="1:17" s="40" customFormat="1" ht="12" customHeight="1" x14ac:dyDescent="0.2"/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s="40" customFormat="1" ht="12" customHeight="1" x14ac:dyDescent="0.2"/>
    <row r="31" spans="1:17" ht="12" customHeight="1" x14ac:dyDescent="0.3"/>
    <row r="32" spans="1:17" ht="12" customHeight="1" x14ac:dyDescent="0.3"/>
    <row r="33" ht="12" customHeight="1" x14ac:dyDescent="0.3"/>
    <row r="34" ht="12" customHeight="1" x14ac:dyDescent="0.3"/>
  </sheetData>
  <mergeCells count="5">
    <mergeCell ref="A3:A4"/>
    <mergeCell ref="B3:E3"/>
    <mergeCell ref="F3:I3"/>
    <mergeCell ref="J3:M3"/>
    <mergeCell ref="N3:Q3"/>
  </mergeCells>
  <phoneticPr fontId="19" type="noConversion"/>
  <pageMargins left="0.7" right="0.7" top="0.75" bottom="0.75" header="0.3" footer="0.3"/>
  <pageSetup paperSize="9" scale="98" orientation="portrait" r:id="rId1"/>
  <ignoredErrors>
    <ignoredError sqref="B21:H21 N21:Q21" formulaRange="1"/>
    <ignoredError sqref="I21:M21" formula="1" formulaRange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CB9B-9C64-411E-9A50-DB6B1122AE2F}">
  <sheetPr codeName="Planilha20"/>
  <dimension ref="A1:L34"/>
  <sheetViews>
    <sheetView showGridLines="0" zoomScale="120" zoomScaleNormal="120" zoomScaleSheetLayoutView="115" workbookViewId="0">
      <selection activeCell="N1" sqref="N1"/>
    </sheetView>
  </sheetViews>
  <sheetFormatPr defaultColWidth="9.109375" defaultRowHeight="14.4" x14ac:dyDescent="0.3"/>
  <cols>
    <col min="1" max="1" width="15.6640625" style="37" customWidth="1"/>
    <col min="2" max="2" width="11" style="37" customWidth="1"/>
    <col min="3" max="3" width="6.44140625" style="37" customWidth="1"/>
    <col min="4" max="4" width="11.6640625" style="37" customWidth="1"/>
    <col min="5" max="24" width="5.6640625" style="37" customWidth="1"/>
    <col min="25" max="16384" width="9.109375" style="37"/>
  </cols>
  <sheetData>
    <row r="1" spans="1:12" ht="19.95" customHeight="1" x14ac:dyDescent="0.3">
      <c r="A1" s="1" t="s">
        <v>337</v>
      </c>
      <c r="B1" s="29"/>
      <c r="C1" s="29"/>
      <c r="D1" s="29"/>
      <c r="E1" s="29"/>
      <c r="F1" s="29"/>
      <c r="G1" s="33"/>
      <c r="H1" s="33"/>
      <c r="I1" s="33"/>
      <c r="J1" s="33"/>
      <c r="K1" s="33"/>
      <c r="L1" s="33"/>
    </row>
    <row r="2" spans="1:12" s="40" customFormat="1" ht="25.2" customHeight="1" thickBot="1" x14ac:dyDescent="0.25"/>
    <row r="3" spans="1:12" s="40" customFormat="1" ht="13.95" customHeight="1" x14ac:dyDescent="0.2">
      <c r="A3" s="213" t="s">
        <v>95</v>
      </c>
      <c r="B3" s="236" t="s">
        <v>362</v>
      </c>
      <c r="C3" s="236" t="s">
        <v>50</v>
      </c>
      <c r="D3" s="238" t="s">
        <v>109</v>
      </c>
      <c r="E3" s="88"/>
    </row>
    <row r="4" spans="1:12" s="40" customFormat="1" ht="19.95" customHeight="1" thickBot="1" x14ac:dyDescent="0.25">
      <c r="A4" s="214"/>
      <c r="B4" s="237"/>
      <c r="C4" s="237"/>
      <c r="D4" s="239"/>
      <c r="E4" s="88"/>
    </row>
    <row r="5" spans="1:12" s="40" customFormat="1" ht="12" customHeight="1" x14ac:dyDescent="0.2">
      <c r="A5" s="101" t="s">
        <v>96</v>
      </c>
      <c r="B5" s="188">
        <v>1359489</v>
      </c>
      <c r="C5" s="189">
        <v>9</v>
      </c>
      <c r="D5" s="89">
        <f>+C5/B5*1000000</f>
        <v>6.6201344769983432</v>
      </c>
      <c r="E5" s="88"/>
    </row>
    <row r="6" spans="1:12" s="40" customFormat="1" ht="12" customHeight="1" x14ac:dyDescent="0.2">
      <c r="A6" s="101" t="s">
        <v>97</v>
      </c>
      <c r="B6" s="190">
        <v>527160</v>
      </c>
      <c r="C6" s="191">
        <v>30</v>
      </c>
      <c r="D6" s="96">
        <f t="shared" ref="D6:D20" si="0">+C6/B6*1000000</f>
        <v>56.908718415661284</v>
      </c>
      <c r="E6" s="88"/>
    </row>
    <row r="7" spans="1:12" s="40" customFormat="1" ht="12" customHeight="1" x14ac:dyDescent="0.2">
      <c r="A7" s="101" t="s">
        <v>98</v>
      </c>
      <c r="B7" s="190">
        <v>570891</v>
      </c>
      <c r="C7" s="191">
        <v>61</v>
      </c>
      <c r="D7" s="96">
        <f t="shared" si="0"/>
        <v>106.85051962633848</v>
      </c>
      <c r="E7" s="88"/>
    </row>
    <row r="8" spans="1:12" s="40" customFormat="1" ht="12" customHeight="1" x14ac:dyDescent="0.2">
      <c r="A8" s="101" t="s">
        <v>99</v>
      </c>
      <c r="B8" s="190">
        <v>592964</v>
      </c>
      <c r="C8" s="191">
        <v>50</v>
      </c>
      <c r="D8" s="96">
        <f t="shared" si="0"/>
        <v>84.322151091803207</v>
      </c>
      <c r="E8" s="88"/>
    </row>
    <row r="9" spans="1:12" s="40" customFormat="1" ht="12" customHeight="1" x14ac:dyDescent="0.2">
      <c r="A9" s="101" t="s">
        <v>100</v>
      </c>
      <c r="B9" s="190">
        <v>610414</v>
      </c>
      <c r="C9" s="191">
        <v>40</v>
      </c>
      <c r="D9" s="96">
        <f t="shared" si="0"/>
        <v>65.529296510237316</v>
      </c>
      <c r="E9" s="88"/>
    </row>
    <row r="10" spans="1:12" s="40" customFormat="1" ht="12" customHeight="1" x14ac:dyDescent="0.2">
      <c r="A10" s="101" t="s">
        <v>101</v>
      </c>
      <c r="B10" s="190">
        <v>627948</v>
      </c>
      <c r="C10" s="191">
        <v>34</v>
      </c>
      <c r="D10" s="96">
        <f t="shared" si="0"/>
        <v>54.144610700249068</v>
      </c>
      <c r="E10" s="88"/>
    </row>
    <row r="11" spans="1:12" s="40" customFormat="1" ht="12" customHeight="1" x14ac:dyDescent="0.2">
      <c r="A11" s="101" t="s">
        <v>102</v>
      </c>
      <c r="B11" s="190">
        <v>724210</v>
      </c>
      <c r="C11" s="191">
        <v>46</v>
      </c>
      <c r="D11" s="96">
        <f t="shared" si="0"/>
        <v>63.517488021430239</v>
      </c>
      <c r="E11" s="88"/>
    </row>
    <row r="12" spans="1:12" s="40" customFormat="1" ht="12" customHeight="1" x14ac:dyDescent="0.2">
      <c r="A12" s="101" t="s">
        <v>103</v>
      </c>
      <c r="B12" s="190">
        <v>814504</v>
      </c>
      <c r="C12" s="191">
        <v>51</v>
      </c>
      <c r="D12" s="96">
        <f t="shared" si="0"/>
        <v>62.614793788612459</v>
      </c>
      <c r="E12" s="88"/>
    </row>
    <row r="13" spans="1:12" s="40" customFormat="1" ht="12" customHeight="1" x14ac:dyDescent="0.2">
      <c r="A13" s="101" t="s">
        <v>104</v>
      </c>
      <c r="B13" s="190">
        <v>802104</v>
      </c>
      <c r="C13" s="191">
        <v>38</v>
      </c>
      <c r="D13" s="96">
        <f t="shared" si="0"/>
        <v>47.375402690922868</v>
      </c>
      <c r="E13" s="88"/>
    </row>
    <row r="14" spans="1:12" s="40" customFormat="1" ht="12" customHeight="1" x14ac:dyDescent="0.2">
      <c r="A14" s="101" t="s">
        <v>105</v>
      </c>
      <c r="B14" s="190">
        <v>755290</v>
      </c>
      <c r="C14" s="191">
        <v>40</v>
      </c>
      <c r="D14" s="96">
        <f t="shared" si="0"/>
        <v>52.959790279230496</v>
      </c>
      <c r="E14" s="88"/>
    </row>
    <row r="15" spans="1:12" s="40" customFormat="1" ht="12" customHeight="1" x14ac:dyDescent="0.2">
      <c r="A15" s="101" t="s">
        <v>106</v>
      </c>
      <c r="B15" s="190">
        <v>749317</v>
      </c>
      <c r="C15" s="191">
        <v>38</v>
      </c>
      <c r="D15" s="96">
        <f t="shared" si="0"/>
        <v>50.712849167975641</v>
      </c>
      <c r="E15" s="88"/>
    </row>
    <row r="16" spans="1:12" s="40" customFormat="1" ht="12" customHeight="1" x14ac:dyDescent="0.2">
      <c r="A16" s="101" t="s">
        <v>107</v>
      </c>
      <c r="B16" s="190">
        <v>695772</v>
      </c>
      <c r="C16" s="191">
        <v>46</v>
      </c>
      <c r="D16" s="96">
        <f t="shared" si="0"/>
        <v>66.113611930345002</v>
      </c>
      <c r="E16" s="88"/>
    </row>
    <row r="17" spans="1:5" s="40" customFormat="1" ht="12" customHeight="1" x14ac:dyDescent="0.2">
      <c r="A17" s="101" t="s">
        <v>108</v>
      </c>
      <c r="B17" s="190">
        <v>625336</v>
      </c>
      <c r="C17" s="191">
        <v>48</v>
      </c>
      <c r="D17" s="96">
        <f t="shared" si="0"/>
        <v>76.758734504330477</v>
      </c>
      <c r="E17" s="88"/>
    </row>
    <row r="18" spans="1:5" s="40" customFormat="1" ht="12" customHeight="1" x14ac:dyDescent="0.2">
      <c r="A18" s="101" t="s">
        <v>359</v>
      </c>
      <c r="B18" s="190">
        <v>531945</v>
      </c>
      <c r="C18" s="191">
        <v>26</v>
      </c>
      <c r="D18" s="96">
        <f t="shared" si="0"/>
        <v>48.877233548581152</v>
      </c>
      <c r="E18" s="88"/>
    </row>
    <row r="19" spans="1:5" s="40" customFormat="1" ht="12" customHeight="1" x14ac:dyDescent="0.2">
      <c r="A19" s="101" t="s">
        <v>355</v>
      </c>
      <c r="B19" s="190">
        <v>762291</v>
      </c>
      <c r="C19" s="191">
        <v>61</v>
      </c>
      <c r="D19" s="96">
        <f t="shared" si="0"/>
        <v>80.021933880893258</v>
      </c>
      <c r="E19" s="88"/>
    </row>
    <row r="20" spans="1:5" s="40" customFormat="1" ht="12" customHeight="1" thickBot="1" x14ac:dyDescent="0.25">
      <c r="A20" s="206" t="s">
        <v>0</v>
      </c>
      <c r="B20" s="98">
        <f>SUM(B5:B19)</f>
        <v>10749635</v>
      </c>
      <c r="C20" s="98">
        <f>SUM(C5:C19)</f>
        <v>618</v>
      </c>
      <c r="D20" s="97">
        <f t="shared" si="0"/>
        <v>57.490324090073756</v>
      </c>
      <c r="E20" s="88"/>
    </row>
    <row r="21" spans="1:5" s="40" customFormat="1" ht="12" customHeight="1" x14ac:dyDescent="0.2"/>
    <row r="22" spans="1:5" s="40" customFormat="1" ht="12" customHeight="1" x14ac:dyDescent="0.2">
      <c r="A22" s="90"/>
    </row>
    <row r="23" spans="1:5" s="40" customFormat="1" ht="12" customHeight="1" x14ac:dyDescent="0.2">
      <c r="A23" s="91"/>
    </row>
    <row r="24" spans="1:5" s="40" customFormat="1" ht="12" customHeight="1" x14ac:dyDescent="0.2"/>
    <row r="25" spans="1:5" s="40" customFormat="1" ht="12" customHeight="1" x14ac:dyDescent="0.2"/>
    <row r="26" spans="1:5" s="40" customFormat="1" ht="12" customHeight="1" x14ac:dyDescent="0.2"/>
    <row r="27" spans="1:5" s="40" customFormat="1" ht="12" customHeight="1" x14ac:dyDescent="0.2"/>
    <row r="28" spans="1:5" s="40" customFormat="1" ht="12" customHeight="1" x14ac:dyDescent="0.2"/>
    <row r="29" spans="1:5" s="40" customFormat="1" ht="12" customHeight="1" x14ac:dyDescent="0.2"/>
    <row r="30" spans="1:5" s="40" customFormat="1" ht="12" customHeight="1" x14ac:dyDescent="0.2"/>
    <row r="31" spans="1:5" ht="12" customHeight="1" x14ac:dyDescent="0.3"/>
    <row r="32" spans="1:5" ht="12" customHeight="1" x14ac:dyDescent="0.3"/>
    <row r="33" ht="12" customHeight="1" x14ac:dyDescent="0.3"/>
    <row r="34" ht="12" customHeight="1" x14ac:dyDescent="0.3"/>
  </sheetData>
  <mergeCells count="4">
    <mergeCell ref="A3:A4"/>
    <mergeCell ref="B3:B4"/>
    <mergeCell ref="C3:C4"/>
    <mergeCell ref="D3:D4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448B-3F09-4F6D-BB4C-0439F6197738}">
  <sheetPr codeName="Planilha21"/>
  <dimension ref="A1:Q33"/>
  <sheetViews>
    <sheetView showGridLines="0" zoomScale="120" zoomScaleNormal="120" zoomScaleSheetLayoutView="13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323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292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64">
        <v>2019</v>
      </c>
      <c r="C4" s="65">
        <v>2023</v>
      </c>
      <c r="D4" s="65">
        <v>2024</v>
      </c>
      <c r="E4" s="66" t="s">
        <v>352</v>
      </c>
      <c r="F4" s="65">
        <v>2019</v>
      </c>
      <c r="G4" s="65">
        <v>2023</v>
      </c>
      <c r="H4" s="65">
        <v>2024</v>
      </c>
      <c r="I4" s="65" t="s">
        <v>352</v>
      </c>
      <c r="J4" s="64">
        <v>2019</v>
      </c>
      <c r="K4" s="65">
        <v>2023</v>
      </c>
      <c r="L4" s="65">
        <v>2024</v>
      </c>
      <c r="M4" s="66" t="s">
        <v>352</v>
      </c>
      <c r="N4" s="64">
        <v>2019</v>
      </c>
      <c r="O4" s="65">
        <v>2023</v>
      </c>
      <c r="P4" s="65">
        <v>2024</v>
      </c>
      <c r="Q4" s="66" t="s">
        <v>352</v>
      </c>
    </row>
    <row r="5" spans="1:17" s="40" customFormat="1" ht="12" customHeight="1" x14ac:dyDescent="0.2">
      <c r="A5" s="25" t="s">
        <v>111</v>
      </c>
      <c r="B5" s="87">
        <v>134</v>
      </c>
      <c r="C5" s="86">
        <v>102</v>
      </c>
      <c r="D5" s="86">
        <v>107</v>
      </c>
      <c r="E5" s="80">
        <f>D5/C5-1</f>
        <v>4.9019607843137303E-2</v>
      </c>
      <c r="F5" s="86">
        <v>409</v>
      </c>
      <c r="G5" s="86">
        <v>321</v>
      </c>
      <c r="H5" s="86">
        <v>397</v>
      </c>
      <c r="I5" s="81">
        <f>H5/G5-1</f>
        <v>0.23676012461059193</v>
      </c>
      <c r="J5" s="67">
        <v>5180</v>
      </c>
      <c r="K5" s="68">
        <v>4450</v>
      </c>
      <c r="L5" s="68">
        <v>4648</v>
      </c>
      <c r="M5" s="80">
        <f>L5/K5-1</f>
        <v>4.4494382022471912E-2</v>
      </c>
      <c r="N5" s="68">
        <f>B5+F5+J5</f>
        <v>5723</v>
      </c>
      <c r="O5" s="68">
        <f t="shared" ref="O5:O7" si="0">C5+G5+K5</f>
        <v>4873</v>
      </c>
      <c r="P5" s="68">
        <f t="shared" ref="P5:P7" si="1">D5+H5+L5</f>
        <v>5152</v>
      </c>
      <c r="Q5" s="81">
        <f>P5/O5-1</f>
        <v>5.725425815719265E-2</v>
      </c>
    </row>
    <row r="6" spans="1:17" s="40" customFormat="1" ht="12" customHeight="1" x14ac:dyDescent="0.2">
      <c r="A6" s="25" t="s">
        <v>344</v>
      </c>
      <c r="B6" s="28">
        <v>5</v>
      </c>
      <c r="C6" s="26">
        <v>4</v>
      </c>
      <c r="D6" s="26">
        <v>2</v>
      </c>
      <c r="E6" s="22">
        <f t="shared" ref="E6:E7" si="2">D6/C6-1</f>
        <v>-0.5</v>
      </c>
      <c r="F6" s="26">
        <v>24</v>
      </c>
      <c r="G6" s="26">
        <v>15</v>
      </c>
      <c r="H6" s="26">
        <v>14</v>
      </c>
      <c r="I6" s="15">
        <f t="shared" ref="I6:I7" si="3">H6/G6-1</f>
        <v>-6.6666666666666652E-2</v>
      </c>
      <c r="J6" s="28">
        <v>77</v>
      </c>
      <c r="K6" s="26">
        <v>58</v>
      </c>
      <c r="L6" s="26">
        <v>71</v>
      </c>
      <c r="M6" s="22">
        <f t="shared" ref="M6:M7" si="4">L6/K6-1</f>
        <v>0.22413793103448265</v>
      </c>
      <c r="N6" s="13">
        <f t="shared" ref="N6:N7" si="5">B6+F6+J6</f>
        <v>106</v>
      </c>
      <c r="O6" s="13">
        <f t="shared" si="0"/>
        <v>77</v>
      </c>
      <c r="P6" s="13">
        <f t="shared" si="1"/>
        <v>87</v>
      </c>
      <c r="Q6" s="15">
        <f t="shared" ref="Q6:Q7" si="6">P6/O6-1</f>
        <v>0.12987012987012991</v>
      </c>
    </row>
    <row r="7" spans="1:17" s="40" customFormat="1" ht="12" customHeight="1" x14ac:dyDescent="0.2">
      <c r="A7" s="25" t="s">
        <v>345</v>
      </c>
      <c r="B7" s="28">
        <v>1</v>
      </c>
      <c r="C7" s="26">
        <v>3</v>
      </c>
      <c r="D7" s="26">
        <v>2</v>
      </c>
      <c r="E7" s="22">
        <f t="shared" si="2"/>
        <v>-0.33333333333333337</v>
      </c>
      <c r="F7" s="26">
        <v>17</v>
      </c>
      <c r="G7" s="26">
        <v>14</v>
      </c>
      <c r="H7" s="26">
        <v>15</v>
      </c>
      <c r="I7" s="15">
        <f t="shared" si="3"/>
        <v>7.1428571428571397E-2</v>
      </c>
      <c r="J7" s="28">
        <v>134</v>
      </c>
      <c r="K7" s="26">
        <v>140</v>
      </c>
      <c r="L7" s="26">
        <v>128</v>
      </c>
      <c r="M7" s="22">
        <f t="shared" si="4"/>
        <v>-8.5714285714285743E-2</v>
      </c>
      <c r="N7" s="13">
        <f t="shared" si="5"/>
        <v>152</v>
      </c>
      <c r="O7" s="13">
        <f t="shared" si="0"/>
        <v>157</v>
      </c>
      <c r="P7" s="13">
        <f t="shared" si="1"/>
        <v>145</v>
      </c>
      <c r="Q7" s="15">
        <f t="shared" si="6"/>
        <v>-7.6433121019108263E-2</v>
      </c>
    </row>
    <row r="8" spans="1:17" s="40" customFormat="1" ht="12" customHeight="1" thickBot="1" x14ac:dyDescent="0.25">
      <c r="A8" s="27" t="s">
        <v>0</v>
      </c>
      <c r="B8" s="23">
        <f>SUM(B5:B7)</f>
        <v>140</v>
      </c>
      <c r="C8" s="16">
        <f t="shared" ref="C8:D8" si="7">SUM(C5:C7)</f>
        <v>109</v>
      </c>
      <c r="D8" s="16">
        <f t="shared" si="7"/>
        <v>111</v>
      </c>
      <c r="E8" s="24">
        <f t="shared" ref="E8" si="8">D8/C8-1</f>
        <v>1.8348623853210899E-2</v>
      </c>
      <c r="F8" s="16">
        <f t="shared" ref="F8:H8" si="9">SUM(F5:F7)</f>
        <v>450</v>
      </c>
      <c r="G8" s="16">
        <f t="shared" si="9"/>
        <v>350</v>
      </c>
      <c r="H8" s="16">
        <f t="shared" si="9"/>
        <v>426</v>
      </c>
      <c r="I8" s="17">
        <f t="shared" ref="I8" si="10">H8/G8-1</f>
        <v>0.21714285714285708</v>
      </c>
      <c r="J8" s="23">
        <f t="shared" ref="J8:L8" si="11">SUM(J5:J7)</f>
        <v>5391</v>
      </c>
      <c r="K8" s="16">
        <f t="shared" si="11"/>
        <v>4648</v>
      </c>
      <c r="L8" s="16">
        <f t="shared" si="11"/>
        <v>4847</v>
      </c>
      <c r="M8" s="24">
        <f t="shared" ref="M8" si="12">L8/K8-1</f>
        <v>4.2814113597246184E-2</v>
      </c>
      <c r="N8" s="16">
        <f t="shared" ref="N8:P8" si="13">SUM(N5:N7)</f>
        <v>5981</v>
      </c>
      <c r="O8" s="16">
        <f t="shared" si="13"/>
        <v>5107</v>
      </c>
      <c r="P8" s="16">
        <f t="shared" si="13"/>
        <v>5384</v>
      </c>
      <c r="Q8" s="17">
        <f t="shared" ref="Q8" si="14">P8/O8-1</f>
        <v>5.4239279420403408E-2</v>
      </c>
    </row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8:H8" formulaRange="1"/>
    <ignoredError sqref="I8:Q8" formula="1" formulaRange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C4EC-EA82-488E-AA83-A6401541C2B7}">
  <sheetPr codeName="Planilha22"/>
  <dimension ref="A1:G34"/>
  <sheetViews>
    <sheetView showGridLines="0" zoomScale="120" zoomScaleNormal="120" zoomScaleSheetLayoutView="145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4" width="7.6640625" style="37" customWidth="1"/>
    <col min="5" max="5" width="13.33203125" style="37" customWidth="1"/>
    <col min="6" max="24" width="5.6640625" style="37" customWidth="1"/>
    <col min="25" max="16384" width="9.109375" style="37"/>
  </cols>
  <sheetData>
    <row r="1" spans="1:7" ht="19.95" customHeight="1" x14ac:dyDescent="0.3">
      <c r="A1" s="1" t="s">
        <v>354</v>
      </c>
      <c r="B1" s="29"/>
      <c r="C1" s="29"/>
      <c r="D1" s="29"/>
      <c r="E1" s="29"/>
      <c r="F1" s="29"/>
      <c r="G1" s="33"/>
    </row>
    <row r="2" spans="1:7" s="40" customFormat="1" ht="25.2" customHeight="1" thickBot="1" x14ac:dyDescent="0.25"/>
    <row r="3" spans="1:7" s="40" customFormat="1" ht="19.8" thickBot="1" x14ac:dyDescent="0.25">
      <c r="A3" s="41" t="s">
        <v>112</v>
      </c>
      <c r="B3" s="99" t="s">
        <v>50</v>
      </c>
      <c r="C3" s="100" t="s">
        <v>51</v>
      </c>
      <c r="D3" s="99" t="s">
        <v>52</v>
      </c>
      <c r="E3" s="100" t="s">
        <v>110</v>
      </c>
    </row>
    <row r="4" spans="1:7" s="40" customFormat="1" ht="12" customHeight="1" x14ac:dyDescent="0.2">
      <c r="A4" s="101">
        <v>2019</v>
      </c>
      <c r="B4" s="200">
        <v>140</v>
      </c>
      <c r="C4" s="93">
        <v>450</v>
      </c>
      <c r="D4" s="203">
        <v>5391</v>
      </c>
      <c r="E4" s="92">
        <f>SUM(B4:D4)</f>
        <v>5981</v>
      </c>
    </row>
    <row r="5" spans="1:7" s="40" customFormat="1" ht="12" customHeight="1" x14ac:dyDescent="0.2">
      <c r="A5" s="101">
        <v>2020</v>
      </c>
      <c r="B5" s="201">
        <v>101</v>
      </c>
      <c r="C5" s="95">
        <v>291</v>
      </c>
      <c r="D5" s="204">
        <v>3484</v>
      </c>
      <c r="E5" s="94">
        <f t="shared" ref="E5:E9" si="0">SUM(B5:D5)</f>
        <v>3876</v>
      </c>
    </row>
    <row r="6" spans="1:7" s="40" customFormat="1" ht="12" customHeight="1" x14ac:dyDescent="0.2">
      <c r="A6" s="101">
        <v>2021</v>
      </c>
      <c r="B6" s="201">
        <v>100</v>
      </c>
      <c r="C6" s="95">
        <v>306</v>
      </c>
      <c r="D6" s="204">
        <v>3717</v>
      </c>
      <c r="E6" s="94">
        <f t="shared" si="0"/>
        <v>4123</v>
      </c>
    </row>
    <row r="7" spans="1:7" s="40" customFormat="1" ht="12" customHeight="1" x14ac:dyDescent="0.2">
      <c r="A7" s="101">
        <v>2022</v>
      </c>
      <c r="B7" s="201">
        <v>107</v>
      </c>
      <c r="C7" s="95">
        <v>350</v>
      </c>
      <c r="D7" s="204">
        <v>4492</v>
      </c>
      <c r="E7" s="94">
        <f t="shared" si="0"/>
        <v>4949</v>
      </c>
    </row>
    <row r="8" spans="1:7" s="40" customFormat="1" ht="12" customHeight="1" x14ac:dyDescent="0.2">
      <c r="A8" s="101">
        <v>2023</v>
      </c>
      <c r="B8" s="201">
        <v>109</v>
      </c>
      <c r="C8" s="95">
        <v>350</v>
      </c>
      <c r="D8" s="204">
        <v>4648</v>
      </c>
      <c r="E8" s="94">
        <v>5107</v>
      </c>
    </row>
    <row r="9" spans="1:7" s="40" customFormat="1" ht="12" customHeight="1" thickBot="1" x14ac:dyDescent="0.25">
      <c r="A9" s="102">
        <v>2024</v>
      </c>
      <c r="B9" s="202">
        <v>111</v>
      </c>
      <c r="C9" s="158">
        <v>426</v>
      </c>
      <c r="D9" s="205">
        <v>4847</v>
      </c>
      <c r="E9" s="103">
        <f t="shared" si="0"/>
        <v>5384</v>
      </c>
    </row>
    <row r="10" spans="1:7" s="40" customFormat="1" ht="12" customHeight="1" x14ac:dyDescent="0.2"/>
    <row r="11" spans="1:7" s="40" customFormat="1" ht="12" customHeight="1" x14ac:dyDescent="0.2"/>
    <row r="12" spans="1:7" s="40" customFormat="1" ht="12" customHeight="1" x14ac:dyDescent="0.2"/>
    <row r="13" spans="1:7" s="40" customFormat="1" ht="12" customHeight="1" x14ac:dyDescent="0.2"/>
    <row r="14" spans="1:7" s="40" customFormat="1" ht="12" customHeight="1" x14ac:dyDescent="0.2"/>
    <row r="15" spans="1:7" s="40" customFormat="1" ht="12" customHeight="1" x14ac:dyDescent="0.2"/>
    <row r="16" spans="1: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s="40" customFormat="1" ht="12" customHeight="1" x14ac:dyDescent="0.2"/>
    <row r="31" ht="12" customHeight="1" x14ac:dyDescent="0.3"/>
    <row r="32" ht="12" customHeight="1" x14ac:dyDescent="0.3"/>
    <row r="33" ht="12" customHeight="1" x14ac:dyDescent="0.3"/>
    <row r="34" ht="12" customHeight="1" x14ac:dyDescent="0.3"/>
  </sheetData>
  <pageMargins left="0.7" right="0.7" top="0.75" bottom="0.75" header="0.3" footer="0.3"/>
  <pageSetup paperSize="9" orientation="portrait" r:id="rId1"/>
  <ignoredErrors>
    <ignoredError sqref="E9 E4:E7" formulaRange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5BF5-753D-4A6B-8865-BDD0C7334232}">
  <sheetPr codeName="Planilha23"/>
  <dimension ref="A1:Q33"/>
  <sheetViews>
    <sheetView showGridLines="0" zoomScale="120" zoomScaleNormal="120" zoomScaleSheetLayoutView="115" workbookViewId="0">
      <selection activeCell="G1" sqref="G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324</v>
      </c>
      <c r="B1" s="104"/>
      <c r="C1" s="104"/>
      <c r="D1" s="104"/>
      <c r="E1" s="104"/>
      <c r="F1" s="104"/>
      <c r="G1" s="105"/>
    </row>
    <row r="2" spans="1:17" s="40" customFormat="1" ht="25.2" customHeight="1" thickBot="1" x14ac:dyDescent="0.25"/>
    <row r="3" spans="1:17" s="40" customFormat="1" ht="13.95" customHeight="1" x14ac:dyDescent="0.2">
      <c r="A3" s="213" t="s">
        <v>48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264</v>
      </c>
      <c r="B5" s="26">
        <v>19</v>
      </c>
      <c r="C5" s="26">
        <v>16</v>
      </c>
      <c r="D5" s="26">
        <v>6</v>
      </c>
      <c r="E5" s="22">
        <f>D5/C5-1</f>
        <v>-0.625</v>
      </c>
      <c r="F5" s="26">
        <v>45</v>
      </c>
      <c r="G5" s="26">
        <v>39</v>
      </c>
      <c r="H5" s="26">
        <v>39</v>
      </c>
      <c r="I5" s="15">
        <f>H5/G5-1</f>
        <v>0</v>
      </c>
      <c r="J5" s="26">
        <v>513</v>
      </c>
      <c r="K5" s="26">
        <v>468</v>
      </c>
      <c r="L5" s="26">
        <v>497</v>
      </c>
      <c r="M5" s="22">
        <f>L5/K5-1</f>
        <v>6.1965811965811968E-2</v>
      </c>
      <c r="N5" s="13">
        <f>B5+F5+J5</f>
        <v>577</v>
      </c>
      <c r="O5" s="13">
        <f t="shared" ref="O5:O16" si="0">C5+G5+K5</f>
        <v>523</v>
      </c>
      <c r="P5" s="13">
        <f t="shared" ref="P5:P16" si="1">D5+H5+L5</f>
        <v>542</v>
      </c>
      <c r="Q5" s="15">
        <f>P5/O5-1</f>
        <v>3.632887189292533E-2</v>
      </c>
    </row>
    <row r="6" spans="1:17" s="40" customFormat="1" ht="12" customHeight="1" x14ac:dyDescent="0.2">
      <c r="A6" s="25" t="s">
        <v>265</v>
      </c>
      <c r="B6" s="26">
        <v>9</v>
      </c>
      <c r="C6" s="26">
        <v>8</v>
      </c>
      <c r="D6" s="26">
        <v>4</v>
      </c>
      <c r="E6" s="22">
        <f>D6/C6-1</f>
        <v>-0.5</v>
      </c>
      <c r="F6" s="26">
        <v>34</v>
      </c>
      <c r="G6" s="26">
        <v>25</v>
      </c>
      <c r="H6" s="26">
        <v>33</v>
      </c>
      <c r="I6" s="15">
        <f>H6/G6-1</f>
        <v>0.32000000000000006</v>
      </c>
      <c r="J6" s="26">
        <v>390</v>
      </c>
      <c r="K6" s="26">
        <v>339</v>
      </c>
      <c r="L6" s="26">
        <v>398</v>
      </c>
      <c r="M6" s="22">
        <f>L6/K6-1</f>
        <v>0.17404129793510315</v>
      </c>
      <c r="N6" s="13">
        <f t="shared" ref="N6:N16" si="2">B6+F6+J6</f>
        <v>433</v>
      </c>
      <c r="O6" s="13">
        <f t="shared" si="0"/>
        <v>372</v>
      </c>
      <c r="P6" s="13">
        <f t="shared" si="1"/>
        <v>435</v>
      </c>
      <c r="Q6" s="15">
        <f>P6/O6-1</f>
        <v>0.16935483870967749</v>
      </c>
    </row>
    <row r="7" spans="1:17" s="40" customFormat="1" ht="12" customHeight="1" x14ac:dyDescent="0.2">
      <c r="A7" s="25" t="s">
        <v>266</v>
      </c>
      <c r="B7" s="26">
        <v>13</v>
      </c>
      <c r="C7" s="26">
        <v>14</v>
      </c>
      <c r="D7" s="26">
        <v>12</v>
      </c>
      <c r="E7" s="22">
        <f>D7/C7-1</f>
        <v>-0.1428571428571429</v>
      </c>
      <c r="F7" s="26">
        <v>52</v>
      </c>
      <c r="G7" s="26">
        <v>25</v>
      </c>
      <c r="H7" s="26">
        <v>42</v>
      </c>
      <c r="I7" s="15">
        <f>H7/G7-1</f>
        <v>0.67999999999999994</v>
      </c>
      <c r="J7" s="26">
        <v>475</v>
      </c>
      <c r="K7" s="26">
        <v>380</v>
      </c>
      <c r="L7" s="26">
        <v>343</v>
      </c>
      <c r="M7" s="22">
        <f>L7/K7-1</f>
        <v>-9.7368421052631549E-2</v>
      </c>
      <c r="N7" s="13">
        <f t="shared" si="2"/>
        <v>540</v>
      </c>
      <c r="O7" s="13">
        <f t="shared" si="0"/>
        <v>419</v>
      </c>
      <c r="P7" s="13">
        <f t="shared" si="1"/>
        <v>397</v>
      </c>
      <c r="Q7" s="15">
        <f>P7/O7-1</f>
        <v>-5.2505966587112152E-2</v>
      </c>
    </row>
    <row r="8" spans="1:17" s="40" customFormat="1" ht="12" customHeight="1" x14ac:dyDescent="0.2">
      <c r="A8" s="25" t="s">
        <v>267</v>
      </c>
      <c r="B8" s="26">
        <v>8</v>
      </c>
      <c r="C8" s="26">
        <v>6</v>
      </c>
      <c r="D8" s="26">
        <v>8</v>
      </c>
      <c r="E8" s="22">
        <f t="shared" ref="E8" si="3">D8/C8-1</f>
        <v>0.33333333333333326</v>
      </c>
      <c r="F8" s="26">
        <v>22</v>
      </c>
      <c r="G8" s="26">
        <v>21</v>
      </c>
      <c r="H8" s="26">
        <v>26</v>
      </c>
      <c r="I8" s="15">
        <f t="shared" ref="I8" si="4">H8/G8-1</f>
        <v>0.23809523809523814</v>
      </c>
      <c r="J8" s="26">
        <v>352</v>
      </c>
      <c r="K8" s="26">
        <v>320</v>
      </c>
      <c r="L8" s="26">
        <v>389</v>
      </c>
      <c r="M8" s="22">
        <f t="shared" ref="M8" si="5">L8/K8-1</f>
        <v>0.21562499999999996</v>
      </c>
      <c r="N8" s="13">
        <f t="shared" si="2"/>
        <v>382</v>
      </c>
      <c r="O8" s="13">
        <f t="shared" si="0"/>
        <v>347</v>
      </c>
      <c r="P8" s="13">
        <f t="shared" si="1"/>
        <v>423</v>
      </c>
      <c r="Q8" s="15">
        <f t="shared" ref="Q8" si="6">P8/O8-1</f>
        <v>0.21902017291066289</v>
      </c>
    </row>
    <row r="9" spans="1:17" s="40" customFormat="1" ht="12" customHeight="1" x14ac:dyDescent="0.2">
      <c r="A9" s="25" t="s">
        <v>268</v>
      </c>
      <c r="B9" s="26">
        <v>7</v>
      </c>
      <c r="C9" s="26">
        <v>8</v>
      </c>
      <c r="D9" s="26">
        <v>12</v>
      </c>
      <c r="E9" s="22">
        <f>D9/C9-1</f>
        <v>0.5</v>
      </c>
      <c r="F9" s="26">
        <v>35</v>
      </c>
      <c r="G9" s="26">
        <v>27</v>
      </c>
      <c r="H9" s="26">
        <v>39</v>
      </c>
      <c r="I9" s="15">
        <f>H9/G9-1</f>
        <v>0.44444444444444442</v>
      </c>
      <c r="J9" s="26">
        <v>466</v>
      </c>
      <c r="K9" s="26">
        <v>362</v>
      </c>
      <c r="L9" s="26">
        <v>355</v>
      </c>
      <c r="M9" s="22">
        <f>L9/K9-1</f>
        <v>-1.9337016574585641E-2</v>
      </c>
      <c r="N9" s="13">
        <f t="shared" si="2"/>
        <v>508</v>
      </c>
      <c r="O9" s="13">
        <f t="shared" si="0"/>
        <v>397</v>
      </c>
      <c r="P9" s="13">
        <f t="shared" si="1"/>
        <v>406</v>
      </c>
      <c r="Q9" s="15">
        <f>P9/O9-1</f>
        <v>2.267002518891692E-2</v>
      </c>
    </row>
    <row r="10" spans="1:17" s="40" customFormat="1" ht="12" customHeight="1" x14ac:dyDescent="0.2">
      <c r="A10" s="25" t="s">
        <v>269</v>
      </c>
      <c r="B10" s="26">
        <v>10</v>
      </c>
      <c r="C10" s="26">
        <v>4</v>
      </c>
      <c r="D10" s="26">
        <v>7</v>
      </c>
      <c r="E10" s="22">
        <f>D10/C10-1</f>
        <v>0.75</v>
      </c>
      <c r="F10" s="26">
        <v>38</v>
      </c>
      <c r="G10" s="26">
        <v>25</v>
      </c>
      <c r="H10" s="26">
        <v>33</v>
      </c>
      <c r="I10" s="15">
        <f>H10/G10-1</f>
        <v>0.32000000000000006</v>
      </c>
      <c r="J10" s="26">
        <v>373</v>
      </c>
      <c r="K10" s="26">
        <v>352</v>
      </c>
      <c r="L10" s="26">
        <v>356</v>
      </c>
      <c r="M10" s="22">
        <f>L10/K10-1</f>
        <v>1.1363636363636465E-2</v>
      </c>
      <c r="N10" s="13">
        <f t="shared" si="2"/>
        <v>421</v>
      </c>
      <c r="O10" s="13">
        <f t="shared" si="0"/>
        <v>381</v>
      </c>
      <c r="P10" s="13">
        <f t="shared" si="1"/>
        <v>396</v>
      </c>
      <c r="Q10" s="15">
        <f>P10/O10-1</f>
        <v>3.937007874015741E-2</v>
      </c>
    </row>
    <row r="11" spans="1:17" s="40" customFormat="1" ht="12" customHeight="1" x14ac:dyDescent="0.2">
      <c r="A11" s="25" t="s">
        <v>270</v>
      </c>
      <c r="B11" s="26">
        <v>7</v>
      </c>
      <c r="C11" s="26">
        <v>8</v>
      </c>
      <c r="D11" s="26">
        <v>7</v>
      </c>
      <c r="E11" s="22">
        <f t="shared" ref="E11:E14" si="7">D11/C11-1</f>
        <v>-0.125</v>
      </c>
      <c r="F11" s="26">
        <v>26</v>
      </c>
      <c r="G11" s="26">
        <v>24</v>
      </c>
      <c r="H11" s="26">
        <v>30</v>
      </c>
      <c r="I11" s="15">
        <f t="shared" ref="I11:I14" si="8">H11/G11-1</f>
        <v>0.25</v>
      </c>
      <c r="J11" s="26">
        <v>386</v>
      </c>
      <c r="K11" s="26">
        <v>348</v>
      </c>
      <c r="L11" s="26">
        <v>370</v>
      </c>
      <c r="M11" s="22">
        <f t="shared" ref="M11:M14" si="9">L11/K11-1</f>
        <v>6.321839080459779E-2</v>
      </c>
      <c r="N11" s="13">
        <f t="shared" si="2"/>
        <v>419</v>
      </c>
      <c r="O11" s="13">
        <f t="shared" si="0"/>
        <v>380</v>
      </c>
      <c r="P11" s="13">
        <f t="shared" si="1"/>
        <v>407</v>
      </c>
      <c r="Q11" s="15">
        <f t="shared" ref="Q11:Q14" si="10">P11/O11-1</f>
        <v>7.1052631578947478E-2</v>
      </c>
    </row>
    <row r="12" spans="1:17" s="40" customFormat="1" ht="12" customHeight="1" x14ac:dyDescent="0.2">
      <c r="A12" s="25" t="s">
        <v>271</v>
      </c>
      <c r="B12" s="26">
        <v>13</v>
      </c>
      <c r="C12" s="26">
        <v>5</v>
      </c>
      <c r="D12" s="26">
        <v>12</v>
      </c>
      <c r="E12" s="22">
        <f>D12/C12-1</f>
        <v>1.4</v>
      </c>
      <c r="F12" s="26">
        <v>41</v>
      </c>
      <c r="G12" s="26">
        <v>28</v>
      </c>
      <c r="H12" s="26">
        <v>32</v>
      </c>
      <c r="I12" s="15">
        <f>H12/G12-1</f>
        <v>0.14285714285714279</v>
      </c>
      <c r="J12" s="26">
        <v>368</v>
      </c>
      <c r="K12" s="26">
        <v>330</v>
      </c>
      <c r="L12" s="26">
        <v>348</v>
      </c>
      <c r="M12" s="22">
        <f>L12/K12-1</f>
        <v>5.4545454545454453E-2</v>
      </c>
      <c r="N12" s="13">
        <f t="shared" si="2"/>
        <v>422</v>
      </c>
      <c r="O12" s="13">
        <f t="shared" si="0"/>
        <v>363</v>
      </c>
      <c r="P12" s="13">
        <f t="shared" si="1"/>
        <v>392</v>
      </c>
      <c r="Q12" s="15">
        <f>P12/O12-1</f>
        <v>7.9889807162534465E-2</v>
      </c>
    </row>
    <row r="13" spans="1:17" s="40" customFormat="1" ht="12" customHeight="1" x14ac:dyDescent="0.2">
      <c r="A13" s="25" t="s">
        <v>272</v>
      </c>
      <c r="B13" s="26">
        <v>8</v>
      </c>
      <c r="C13" s="26">
        <v>16</v>
      </c>
      <c r="D13" s="26">
        <v>11</v>
      </c>
      <c r="E13" s="22">
        <f>D13/C13-1</f>
        <v>-0.3125</v>
      </c>
      <c r="F13" s="26">
        <v>51</v>
      </c>
      <c r="G13" s="26">
        <v>25</v>
      </c>
      <c r="H13" s="26">
        <v>44</v>
      </c>
      <c r="I13" s="15">
        <f>H13/G13-1</f>
        <v>0.76</v>
      </c>
      <c r="J13" s="26">
        <v>403</v>
      </c>
      <c r="K13" s="26">
        <v>408</v>
      </c>
      <c r="L13" s="26">
        <v>375</v>
      </c>
      <c r="M13" s="22">
        <f>L13/K13-1</f>
        <v>-8.0882352941176516E-2</v>
      </c>
      <c r="N13" s="13">
        <f t="shared" si="2"/>
        <v>462</v>
      </c>
      <c r="O13" s="13">
        <f t="shared" si="0"/>
        <v>449</v>
      </c>
      <c r="P13" s="13">
        <f t="shared" si="1"/>
        <v>430</v>
      </c>
      <c r="Q13" s="15">
        <f>P13/O13-1</f>
        <v>-4.2316258351893121E-2</v>
      </c>
    </row>
    <row r="14" spans="1:17" s="40" customFormat="1" ht="12" customHeight="1" x14ac:dyDescent="0.2">
      <c r="A14" s="25" t="s">
        <v>273</v>
      </c>
      <c r="B14" s="26">
        <v>16</v>
      </c>
      <c r="C14" s="26">
        <v>14</v>
      </c>
      <c r="D14" s="26">
        <v>13</v>
      </c>
      <c r="E14" s="22">
        <f t="shared" si="7"/>
        <v>-7.1428571428571397E-2</v>
      </c>
      <c r="F14" s="26">
        <v>35</v>
      </c>
      <c r="G14" s="26">
        <v>36</v>
      </c>
      <c r="H14" s="26">
        <v>33</v>
      </c>
      <c r="I14" s="15">
        <f t="shared" si="8"/>
        <v>-8.333333333333337E-2</v>
      </c>
      <c r="J14" s="26">
        <v>512</v>
      </c>
      <c r="K14" s="26">
        <v>410</v>
      </c>
      <c r="L14" s="26">
        <v>441</v>
      </c>
      <c r="M14" s="22">
        <f t="shared" si="9"/>
        <v>7.5609756097561043E-2</v>
      </c>
      <c r="N14" s="13">
        <f t="shared" si="2"/>
        <v>563</v>
      </c>
      <c r="O14" s="13">
        <f t="shared" si="0"/>
        <v>460</v>
      </c>
      <c r="P14" s="13">
        <f t="shared" si="1"/>
        <v>487</v>
      </c>
      <c r="Q14" s="15">
        <f t="shared" si="10"/>
        <v>5.8695652173913038E-2</v>
      </c>
    </row>
    <row r="15" spans="1:17" s="40" customFormat="1" ht="12" customHeight="1" x14ac:dyDescent="0.2">
      <c r="A15" s="25" t="s">
        <v>274</v>
      </c>
      <c r="B15" s="26">
        <v>13</v>
      </c>
      <c r="C15" s="26">
        <v>0</v>
      </c>
      <c r="D15" s="26">
        <v>6</v>
      </c>
      <c r="E15" s="34" t="s">
        <v>62</v>
      </c>
      <c r="F15" s="26">
        <v>42</v>
      </c>
      <c r="G15" s="26">
        <v>41</v>
      </c>
      <c r="H15" s="26">
        <v>35</v>
      </c>
      <c r="I15" s="15">
        <f>H15/G15-1</f>
        <v>-0.14634146341463417</v>
      </c>
      <c r="J15" s="26">
        <v>581</v>
      </c>
      <c r="K15" s="26">
        <v>477</v>
      </c>
      <c r="L15" s="26">
        <v>482</v>
      </c>
      <c r="M15" s="22">
        <f>L15/K15-1</f>
        <v>1.048218029350112E-2</v>
      </c>
      <c r="N15" s="13">
        <f t="shared" si="2"/>
        <v>636</v>
      </c>
      <c r="O15" s="13">
        <f t="shared" si="0"/>
        <v>518</v>
      </c>
      <c r="P15" s="13">
        <f t="shared" si="1"/>
        <v>523</v>
      </c>
      <c r="Q15" s="15">
        <f>P15/O15-1</f>
        <v>9.6525096525097442E-3</v>
      </c>
    </row>
    <row r="16" spans="1:17" s="40" customFormat="1" ht="12" customHeight="1" x14ac:dyDescent="0.2">
      <c r="A16" s="25" t="s">
        <v>275</v>
      </c>
      <c r="B16" s="26">
        <v>17</v>
      </c>
      <c r="C16" s="26">
        <v>10</v>
      </c>
      <c r="D16" s="26">
        <v>13</v>
      </c>
      <c r="E16" s="22">
        <f>D16/C16-1</f>
        <v>0.30000000000000004</v>
      </c>
      <c r="F16" s="26">
        <v>29</v>
      </c>
      <c r="G16" s="26">
        <v>34</v>
      </c>
      <c r="H16" s="26">
        <v>40</v>
      </c>
      <c r="I16" s="15">
        <f>H16/G16-1</f>
        <v>0.17647058823529416</v>
      </c>
      <c r="J16" s="26">
        <v>572</v>
      </c>
      <c r="K16" s="26">
        <v>454</v>
      </c>
      <c r="L16" s="26">
        <v>493</v>
      </c>
      <c r="M16" s="22">
        <f>L16/K16-1</f>
        <v>8.5903083700440419E-2</v>
      </c>
      <c r="N16" s="13">
        <f t="shared" si="2"/>
        <v>618</v>
      </c>
      <c r="O16" s="13">
        <f t="shared" si="0"/>
        <v>498</v>
      </c>
      <c r="P16" s="13">
        <f t="shared" si="1"/>
        <v>546</v>
      </c>
      <c r="Q16" s="15">
        <f>P16/O16-1</f>
        <v>9.6385542168674787E-2</v>
      </c>
    </row>
    <row r="17" spans="1:17" s="40" customFormat="1" ht="12" customHeight="1" thickBot="1" x14ac:dyDescent="0.25">
      <c r="A17" s="27" t="s">
        <v>0</v>
      </c>
      <c r="B17" s="23">
        <f>SUM(B5:B16)</f>
        <v>140</v>
      </c>
      <c r="C17" s="16">
        <f t="shared" ref="C17:D17" si="11">SUM(C5:C16)</f>
        <v>109</v>
      </c>
      <c r="D17" s="16">
        <f t="shared" si="11"/>
        <v>111</v>
      </c>
      <c r="E17" s="24">
        <f>D17/C17-1</f>
        <v>1.8348623853210899E-2</v>
      </c>
      <c r="F17" s="16">
        <f t="shared" ref="F17:H17" si="12">SUM(F5:F16)</f>
        <v>450</v>
      </c>
      <c r="G17" s="16">
        <f t="shared" si="12"/>
        <v>350</v>
      </c>
      <c r="H17" s="16">
        <f t="shared" si="12"/>
        <v>426</v>
      </c>
      <c r="I17" s="17">
        <f>H17/G17-1</f>
        <v>0.21714285714285708</v>
      </c>
      <c r="J17" s="23">
        <f t="shared" ref="J17:L17" si="13">SUM(J5:J16)</f>
        <v>5391</v>
      </c>
      <c r="K17" s="16">
        <f t="shared" si="13"/>
        <v>4648</v>
      </c>
      <c r="L17" s="16">
        <f t="shared" si="13"/>
        <v>4847</v>
      </c>
      <c r="M17" s="24">
        <f>L17/K17-1</f>
        <v>4.2814113597246184E-2</v>
      </c>
      <c r="N17" s="16">
        <f t="shared" ref="N17:P17" si="14">SUM(N5:N16)</f>
        <v>5981</v>
      </c>
      <c r="O17" s="16">
        <f t="shared" si="14"/>
        <v>5107</v>
      </c>
      <c r="P17" s="16">
        <f t="shared" si="14"/>
        <v>5384</v>
      </c>
      <c r="Q17" s="17">
        <f>P17/O17-1</f>
        <v>5.4239279420403408E-2</v>
      </c>
    </row>
    <row r="18" spans="1:17" s="40" customFormat="1" ht="12" customHeight="1" x14ac:dyDescent="0.2"/>
    <row r="19" spans="1:17" s="40" customFormat="1" ht="12" customHeight="1" x14ac:dyDescent="0.2"/>
    <row r="20" spans="1:17" s="40" customFormat="1" ht="12" customHeight="1" x14ac:dyDescent="0.2"/>
    <row r="21" spans="1:17" s="40" customFormat="1" ht="12" customHeight="1" x14ac:dyDescent="0.2"/>
    <row r="22" spans="1:17" s="40" customFormat="1" ht="12" customHeight="1" x14ac:dyDescent="0.2"/>
    <row r="23" spans="1:17" s="40" customFormat="1" ht="12" customHeight="1" x14ac:dyDescent="0.2"/>
    <row r="24" spans="1:17" s="40" customFormat="1" ht="12" customHeight="1" x14ac:dyDescent="0.2"/>
    <row r="25" spans="1:17" s="40" customFormat="1" ht="12" customHeight="1" x14ac:dyDescent="0.2"/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7:H17 N17:Q17" formulaRange="1"/>
    <ignoredError sqref="I17:M17" formula="1" formulaRang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D78A-C48C-4A53-9A1D-4AF750583498}">
  <sheetPr codeName="Planilha24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325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59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339</v>
      </c>
      <c r="B5" s="26">
        <v>27</v>
      </c>
      <c r="C5" s="26">
        <v>18</v>
      </c>
      <c r="D5" s="26">
        <v>15</v>
      </c>
      <c r="E5" s="22">
        <f>D5/C5-1</f>
        <v>-0.16666666666666663</v>
      </c>
      <c r="F5" s="26">
        <v>61</v>
      </c>
      <c r="G5" s="26">
        <v>49</v>
      </c>
      <c r="H5" s="26">
        <v>70</v>
      </c>
      <c r="I5" s="15">
        <f>H5/G5-1</f>
        <v>0.4285714285714286</v>
      </c>
      <c r="J5" s="26">
        <v>813</v>
      </c>
      <c r="K5" s="26">
        <v>700</v>
      </c>
      <c r="L5" s="26">
        <v>767</v>
      </c>
      <c r="M5" s="22">
        <f>L5/K5-1</f>
        <v>9.5714285714285641E-2</v>
      </c>
      <c r="N5" s="13">
        <f t="shared" ref="N5:P11" si="0">B5+F5+J5</f>
        <v>901</v>
      </c>
      <c r="O5" s="13">
        <f t="shared" si="0"/>
        <v>767</v>
      </c>
      <c r="P5" s="13">
        <f t="shared" si="0"/>
        <v>852</v>
      </c>
      <c r="Q5" s="81">
        <f>P5/O5-1</f>
        <v>0.11082138200782277</v>
      </c>
    </row>
    <row r="6" spans="1:17" s="40" customFormat="1" ht="12" customHeight="1" x14ac:dyDescent="0.2">
      <c r="A6" s="25" t="s">
        <v>340</v>
      </c>
      <c r="B6" s="26">
        <v>24</v>
      </c>
      <c r="C6" s="26">
        <v>15</v>
      </c>
      <c r="D6" s="26">
        <v>16</v>
      </c>
      <c r="E6" s="22">
        <f t="shared" ref="E6" si="1">D6/C6-1</f>
        <v>6.6666666666666652E-2</v>
      </c>
      <c r="F6" s="26">
        <v>72</v>
      </c>
      <c r="G6" s="26">
        <v>48</v>
      </c>
      <c r="H6" s="26">
        <v>71</v>
      </c>
      <c r="I6" s="15">
        <f t="shared" ref="I6" si="2">H6/G6-1</f>
        <v>0.47916666666666674</v>
      </c>
      <c r="J6" s="26">
        <v>843</v>
      </c>
      <c r="K6" s="26">
        <v>741</v>
      </c>
      <c r="L6" s="26">
        <v>765</v>
      </c>
      <c r="M6" s="22">
        <f t="shared" ref="M6" si="3">L6/K6-1</f>
        <v>3.238866396761142E-2</v>
      </c>
      <c r="N6" s="13">
        <f t="shared" si="0"/>
        <v>939</v>
      </c>
      <c r="O6" s="13">
        <f t="shared" si="0"/>
        <v>804</v>
      </c>
      <c r="P6" s="13">
        <f t="shared" si="0"/>
        <v>852</v>
      </c>
      <c r="Q6" s="15">
        <f t="shared" ref="Q6" si="4">P6/O6-1</f>
        <v>5.9701492537313383E-2</v>
      </c>
    </row>
    <row r="7" spans="1:17" s="40" customFormat="1" ht="12" customHeight="1" x14ac:dyDescent="0.2">
      <c r="A7" s="25" t="s">
        <v>341</v>
      </c>
      <c r="B7" s="26">
        <v>13</v>
      </c>
      <c r="C7" s="26">
        <v>15</v>
      </c>
      <c r="D7" s="26">
        <v>18</v>
      </c>
      <c r="E7" s="22">
        <f t="shared" ref="E7:E12" si="5">D7/C7-1</f>
        <v>0.19999999999999996</v>
      </c>
      <c r="F7" s="26">
        <v>62</v>
      </c>
      <c r="G7" s="26">
        <v>56</v>
      </c>
      <c r="H7" s="26">
        <v>73</v>
      </c>
      <c r="I7" s="15">
        <f>H7/G7-1</f>
        <v>0.3035714285714286</v>
      </c>
      <c r="J7" s="26">
        <v>867</v>
      </c>
      <c r="K7" s="26">
        <v>761</v>
      </c>
      <c r="L7" s="26">
        <v>761</v>
      </c>
      <c r="M7" s="22">
        <f>L7/K7-1</f>
        <v>0</v>
      </c>
      <c r="N7" s="13">
        <f t="shared" si="0"/>
        <v>942</v>
      </c>
      <c r="O7" s="13">
        <f t="shared" si="0"/>
        <v>832</v>
      </c>
      <c r="P7" s="13">
        <f t="shared" si="0"/>
        <v>852</v>
      </c>
      <c r="Q7" s="15">
        <f>P7/O7-1</f>
        <v>2.4038461538461453E-2</v>
      </c>
    </row>
    <row r="8" spans="1:17" s="40" customFormat="1" ht="12" customHeight="1" x14ac:dyDescent="0.2">
      <c r="A8" s="25" t="s">
        <v>342</v>
      </c>
      <c r="B8" s="26">
        <v>20</v>
      </c>
      <c r="C8" s="26">
        <v>16</v>
      </c>
      <c r="D8" s="26">
        <v>9</v>
      </c>
      <c r="E8" s="22">
        <f t="shared" si="5"/>
        <v>-0.4375</v>
      </c>
      <c r="F8" s="26">
        <v>75</v>
      </c>
      <c r="G8" s="26">
        <v>50</v>
      </c>
      <c r="H8" s="26">
        <v>51</v>
      </c>
      <c r="I8" s="15">
        <f>H8/G8-1</f>
        <v>2.0000000000000018E-2</v>
      </c>
      <c r="J8" s="26">
        <v>907</v>
      </c>
      <c r="K8" s="26">
        <v>764</v>
      </c>
      <c r="L8" s="26">
        <v>791</v>
      </c>
      <c r="M8" s="22">
        <f>L8/K8-1</f>
        <v>3.5340314136125706E-2</v>
      </c>
      <c r="N8" s="13">
        <f t="shared" si="0"/>
        <v>1002</v>
      </c>
      <c r="O8" s="13">
        <f t="shared" si="0"/>
        <v>830</v>
      </c>
      <c r="P8" s="13">
        <f t="shared" si="0"/>
        <v>851</v>
      </c>
      <c r="Q8" s="15">
        <f>P8/O8-1</f>
        <v>2.5301204819277112E-2</v>
      </c>
    </row>
    <row r="9" spans="1:17" s="40" customFormat="1" ht="12" customHeight="1" x14ac:dyDescent="0.2">
      <c r="A9" s="25" t="s">
        <v>343</v>
      </c>
      <c r="B9" s="26">
        <v>28</v>
      </c>
      <c r="C9" s="26">
        <v>13</v>
      </c>
      <c r="D9" s="26">
        <v>22</v>
      </c>
      <c r="E9" s="22">
        <f t="shared" si="5"/>
        <v>0.69230769230769229</v>
      </c>
      <c r="F9" s="26">
        <v>76</v>
      </c>
      <c r="G9" s="26">
        <v>59</v>
      </c>
      <c r="H9" s="26">
        <v>69</v>
      </c>
      <c r="I9" s="15">
        <f>H9/G9-1</f>
        <v>0.16949152542372881</v>
      </c>
      <c r="J9" s="26">
        <v>935</v>
      </c>
      <c r="K9" s="26">
        <v>798</v>
      </c>
      <c r="L9" s="26">
        <v>816</v>
      </c>
      <c r="M9" s="22">
        <f>L9/K9-1</f>
        <v>2.2556390977443552E-2</v>
      </c>
      <c r="N9" s="13">
        <f t="shared" si="0"/>
        <v>1039</v>
      </c>
      <c r="O9" s="13">
        <f t="shared" si="0"/>
        <v>870</v>
      </c>
      <c r="P9" s="13">
        <f t="shared" si="0"/>
        <v>907</v>
      </c>
      <c r="Q9" s="15">
        <f>P9/O9-1</f>
        <v>4.2528735632183956E-2</v>
      </c>
    </row>
    <row r="10" spans="1:17" s="40" customFormat="1" ht="12" customHeight="1" x14ac:dyDescent="0.2">
      <c r="A10" s="25" t="s">
        <v>53</v>
      </c>
      <c r="B10" s="26">
        <v>16</v>
      </c>
      <c r="C10" s="26">
        <v>20</v>
      </c>
      <c r="D10" s="26">
        <v>17</v>
      </c>
      <c r="E10" s="22">
        <f t="shared" si="5"/>
        <v>-0.15000000000000002</v>
      </c>
      <c r="F10" s="26">
        <v>63</v>
      </c>
      <c r="G10" s="26">
        <v>54</v>
      </c>
      <c r="H10" s="26">
        <v>52</v>
      </c>
      <c r="I10" s="15">
        <f t="shared" ref="I10" si="6">H10/G10-1</f>
        <v>-3.703703703703709E-2</v>
      </c>
      <c r="J10" s="26">
        <v>604</v>
      </c>
      <c r="K10" s="26">
        <v>503</v>
      </c>
      <c r="L10" s="26">
        <v>564</v>
      </c>
      <c r="M10" s="22">
        <f t="shared" ref="M10" si="7">L10/K10-1</f>
        <v>0.12127236580516909</v>
      </c>
      <c r="N10" s="13">
        <f t="shared" si="0"/>
        <v>683</v>
      </c>
      <c r="O10" s="13">
        <f t="shared" si="0"/>
        <v>577</v>
      </c>
      <c r="P10" s="13">
        <f t="shared" si="0"/>
        <v>633</v>
      </c>
      <c r="Q10" s="15">
        <f t="shared" ref="Q10" si="8">P10/O10-1</f>
        <v>9.705372616984409E-2</v>
      </c>
    </row>
    <row r="11" spans="1:17" s="40" customFormat="1" ht="12" customHeight="1" x14ac:dyDescent="0.2">
      <c r="A11" s="25" t="s">
        <v>54</v>
      </c>
      <c r="B11" s="26">
        <v>12</v>
      </c>
      <c r="C11" s="26">
        <v>12</v>
      </c>
      <c r="D11" s="26">
        <v>14</v>
      </c>
      <c r="E11" s="22">
        <f t="shared" si="5"/>
        <v>0.16666666666666674</v>
      </c>
      <c r="F11" s="26">
        <v>41</v>
      </c>
      <c r="G11" s="26">
        <v>34</v>
      </c>
      <c r="H11" s="26">
        <v>40</v>
      </c>
      <c r="I11" s="15">
        <f>H11/G11-1</f>
        <v>0.17647058823529416</v>
      </c>
      <c r="J11" s="26">
        <v>422</v>
      </c>
      <c r="K11" s="26">
        <v>381</v>
      </c>
      <c r="L11" s="26">
        <v>383</v>
      </c>
      <c r="M11" s="22">
        <f>L11/K11-1</f>
        <v>5.249343832020914E-3</v>
      </c>
      <c r="N11" s="13">
        <f t="shared" si="0"/>
        <v>475</v>
      </c>
      <c r="O11" s="13">
        <f t="shared" si="0"/>
        <v>427</v>
      </c>
      <c r="P11" s="13">
        <f t="shared" si="0"/>
        <v>437</v>
      </c>
      <c r="Q11" s="15">
        <f>P11/O11-1</f>
        <v>2.3419203747072626E-2</v>
      </c>
    </row>
    <row r="12" spans="1:17" s="40" customFormat="1" ht="12" customHeight="1" thickBot="1" x14ac:dyDescent="0.25">
      <c r="A12" s="27" t="s">
        <v>0</v>
      </c>
      <c r="B12" s="23">
        <f>SUM(B5:B11)</f>
        <v>140</v>
      </c>
      <c r="C12" s="16">
        <f t="shared" ref="C12:D12" si="9">SUM(C5:C11)</f>
        <v>109</v>
      </c>
      <c r="D12" s="16">
        <f t="shared" si="9"/>
        <v>111</v>
      </c>
      <c r="E12" s="24">
        <f t="shared" si="5"/>
        <v>1.8348623853210899E-2</v>
      </c>
      <c r="F12" s="16">
        <f t="shared" ref="F12:H12" si="10">SUM(F5:F11)</f>
        <v>450</v>
      </c>
      <c r="G12" s="16">
        <f t="shared" si="10"/>
        <v>350</v>
      </c>
      <c r="H12" s="16">
        <f t="shared" si="10"/>
        <v>426</v>
      </c>
      <c r="I12" s="17">
        <f>H12/G12-1</f>
        <v>0.21714285714285708</v>
      </c>
      <c r="J12" s="23">
        <f t="shared" ref="J12:L12" si="11">SUM(J5:J11)</f>
        <v>5391</v>
      </c>
      <c r="K12" s="16">
        <f t="shared" si="11"/>
        <v>4648</v>
      </c>
      <c r="L12" s="16">
        <f t="shared" si="11"/>
        <v>4847</v>
      </c>
      <c r="M12" s="24">
        <f>L12/K12-1</f>
        <v>4.2814113597246184E-2</v>
      </c>
      <c r="N12" s="16">
        <f t="shared" ref="N12:P12" si="12">SUM(N5:N11)</f>
        <v>5981</v>
      </c>
      <c r="O12" s="16">
        <f t="shared" si="12"/>
        <v>5107</v>
      </c>
      <c r="P12" s="16">
        <f t="shared" si="12"/>
        <v>5384</v>
      </c>
      <c r="Q12" s="17">
        <f>P12/O12-1</f>
        <v>5.4239279420403408E-2</v>
      </c>
    </row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72" orientation="portrait" r:id="rId1"/>
  <ignoredErrors>
    <ignoredError sqref="B12:D12 N12:Q12" formulaRange="1"/>
    <ignoredError sqref="E12:M12" formula="1" formulaRange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86DB-1BE8-4E22-A769-24D3A593E1AA}">
  <sheetPr codeName="Planilha25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326</v>
      </c>
      <c r="B1" s="36"/>
      <c r="C1" s="36"/>
      <c r="D1" s="36"/>
      <c r="E1" s="36"/>
      <c r="F1" s="36"/>
    </row>
    <row r="2" spans="1:17" s="40" customFormat="1" ht="25.2" customHeight="1" thickBot="1" x14ac:dyDescent="0.25"/>
    <row r="3" spans="1:17" s="40" customFormat="1" ht="13.95" customHeight="1" x14ac:dyDescent="0.2">
      <c r="A3" s="213" t="s">
        <v>60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225</v>
      </c>
      <c r="B5" s="26">
        <v>7</v>
      </c>
      <c r="C5" s="26">
        <v>3</v>
      </c>
      <c r="D5" s="26">
        <v>6</v>
      </c>
      <c r="E5" s="22">
        <f>D5/C5-1</f>
        <v>1</v>
      </c>
      <c r="F5" s="26">
        <v>7</v>
      </c>
      <c r="G5" s="26">
        <v>13</v>
      </c>
      <c r="H5" s="26">
        <v>9</v>
      </c>
      <c r="I5" s="15">
        <f>H5/G5-1</f>
        <v>-0.30769230769230771</v>
      </c>
      <c r="J5" s="26">
        <v>84</v>
      </c>
      <c r="K5" s="26">
        <v>63</v>
      </c>
      <c r="L5" s="26">
        <v>61</v>
      </c>
      <c r="M5" s="22">
        <f>L5/K5-1</f>
        <v>-3.1746031746031744E-2</v>
      </c>
      <c r="N5" s="13">
        <f t="shared" ref="N5:P12" si="0">B5+F5+J5</f>
        <v>98</v>
      </c>
      <c r="O5" s="13">
        <f t="shared" si="0"/>
        <v>79</v>
      </c>
      <c r="P5" s="13">
        <f t="shared" si="0"/>
        <v>76</v>
      </c>
      <c r="Q5" s="81">
        <f>P5/O5-1</f>
        <v>-3.7974683544303778E-2</v>
      </c>
    </row>
    <row r="6" spans="1:17" s="40" customFormat="1" ht="12" customHeight="1" x14ac:dyDescent="0.2">
      <c r="A6" s="25" t="s">
        <v>226</v>
      </c>
      <c r="B6" s="26">
        <v>2</v>
      </c>
      <c r="C6" s="26">
        <v>4</v>
      </c>
      <c r="D6" s="26">
        <v>2</v>
      </c>
      <c r="E6" s="22">
        <f>D6/C6-1</f>
        <v>-0.5</v>
      </c>
      <c r="F6" s="26">
        <v>8</v>
      </c>
      <c r="G6" s="26">
        <v>4</v>
      </c>
      <c r="H6" s="26">
        <v>8</v>
      </c>
      <c r="I6" s="15">
        <f t="shared" ref="I6" si="1">H6/G6-1</f>
        <v>1</v>
      </c>
      <c r="J6" s="26">
        <v>36</v>
      </c>
      <c r="K6" s="26">
        <v>34</v>
      </c>
      <c r="L6" s="26">
        <v>37</v>
      </c>
      <c r="M6" s="22">
        <f t="shared" ref="M6" si="2">L6/K6-1</f>
        <v>8.8235294117646967E-2</v>
      </c>
      <c r="N6" s="13">
        <f t="shared" si="0"/>
        <v>46</v>
      </c>
      <c r="O6" s="13">
        <f t="shared" si="0"/>
        <v>42</v>
      </c>
      <c r="P6" s="13">
        <f t="shared" si="0"/>
        <v>47</v>
      </c>
      <c r="Q6" s="15">
        <f>P6/O6-1</f>
        <v>0.11904761904761907</v>
      </c>
    </row>
    <row r="7" spans="1:17" s="40" customFormat="1" ht="12" customHeight="1" x14ac:dyDescent="0.2">
      <c r="A7" s="25" t="s">
        <v>227</v>
      </c>
      <c r="B7" s="26">
        <v>7</v>
      </c>
      <c r="C7" s="26">
        <v>11</v>
      </c>
      <c r="D7" s="26">
        <v>22</v>
      </c>
      <c r="E7" s="22">
        <f>D7/C7-1</f>
        <v>1</v>
      </c>
      <c r="F7" s="26">
        <v>54</v>
      </c>
      <c r="G7" s="26">
        <v>49</v>
      </c>
      <c r="H7" s="26">
        <v>45</v>
      </c>
      <c r="I7" s="15">
        <f>H7/G7-1</f>
        <v>-8.1632653061224469E-2</v>
      </c>
      <c r="J7" s="26">
        <v>561</v>
      </c>
      <c r="K7" s="26">
        <v>520</v>
      </c>
      <c r="L7" s="26">
        <v>517</v>
      </c>
      <c r="M7" s="22">
        <f>L7/K7-1</f>
        <v>-5.7692307692307487E-3</v>
      </c>
      <c r="N7" s="13">
        <f t="shared" si="0"/>
        <v>622</v>
      </c>
      <c r="O7" s="13">
        <f t="shared" si="0"/>
        <v>580</v>
      </c>
      <c r="P7" s="13">
        <f t="shared" si="0"/>
        <v>584</v>
      </c>
      <c r="Q7" s="15">
        <f>P7/O7-1</f>
        <v>6.8965517241379448E-3</v>
      </c>
    </row>
    <row r="8" spans="1:17" s="40" customFormat="1" ht="12" customHeight="1" x14ac:dyDescent="0.2">
      <c r="A8" s="25" t="s">
        <v>228</v>
      </c>
      <c r="B8" s="26">
        <v>21</v>
      </c>
      <c r="C8" s="26">
        <v>21</v>
      </c>
      <c r="D8" s="26">
        <v>14</v>
      </c>
      <c r="E8" s="22">
        <f>D8/C8-1</f>
        <v>-0.33333333333333337</v>
      </c>
      <c r="F8" s="26">
        <v>68</v>
      </c>
      <c r="G8" s="26">
        <v>50</v>
      </c>
      <c r="H8" s="26">
        <v>67</v>
      </c>
      <c r="I8" s="15">
        <f>H8/G8-1</f>
        <v>0.34000000000000008</v>
      </c>
      <c r="J8" s="26">
        <v>969</v>
      </c>
      <c r="K8" s="26">
        <v>931</v>
      </c>
      <c r="L8" s="26">
        <v>983</v>
      </c>
      <c r="M8" s="22">
        <f>L8/K8-1</f>
        <v>5.5853920515574584E-2</v>
      </c>
      <c r="N8" s="13">
        <f t="shared" si="0"/>
        <v>1058</v>
      </c>
      <c r="O8" s="13">
        <f t="shared" si="0"/>
        <v>1002</v>
      </c>
      <c r="P8" s="13">
        <f t="shared" si="0"/>
        <v>1064</v>
      </c>
      <c r="Q8" s="15">
        <f>P8/O8-1</f>
        <v>6.1876247504990101E-2</v>
      </c>
    </row>
    <row r="9" spans="1:17" s="40" customFormat="1" ht="12" customHeight="1" x14ac:dyDescent="0.2">
      <c r="A9" s="25" t="s">
        <v>229</v>
      </c>
      <c r="B9" s="26">
        <v>14</v>
      </c>
      <c r="C9" s="26">
        <v>16</v>
      </c>
      <c r="D9" s="26">
        <v>12</v>
      </c>
      <c r="E9" s="22">
        <f>D9/C9-1</f>
        <v>-0.25</v>
      </c>
      <c r="F9" s="26">
        <v>63</v>
      </c>
      <c r="G9" s="26">
        <v>43</v>
      </c>
      <c r="H9" s="26">
        <v>70</v>
      </c>
      <c r="I9" s="15">
        <f>H9/G9-1</f>
        <v>0.62790697674418605</v>
      </c>
      <c r="J9" s="26">
        <v>893</v>
      </c>
      <c r="K9" s="26">
        <v>744</v>
      </c>
      <c r="L9" s="26">
        <v>840</v>
      </c>
      <c r="M9" s="22">
        <f>L9/K9-1</f>
        <v>0.12903225806451624</v>
      </c>
      <c r="N9" s="13">
        <f t="shared" si="0"/>
        <v>970</v>
      </c>
      <c r="O9" s="13">
        <f t="shared" si="0"/>
        <v>803</v>
      </c>
      <c r="P9" s="13">
        <f t="shared" si="0"/>
        <v>922</v>
      </c>
      <c r="Q9" s="15">
        <f>P9/O9-1</f>
        <v>0.14819427148194264</v>
      </c>
    </row>
    <row r="10" spans="1:17" s="40" customFormat="1" ht="12" customHeight="1" x14ac:dyDescent="0.2">
      <c r="A10" s="25" t="s">
        <v>230</v>
      </c>
      <c r="B10" s="26">
        <v>29</v>
      </c>
      <c r="C10" s="26">
        <v>11</v>
      </c>
      <c r="D10" s="26">
        <v>13</v>
      </c>
      <c r="E10" s="22">
        <f t="shared" ref="E10" si="3">D10/C10-1</f>
        <v>0.18181818181818188</v>
      </c>
      <c r="F10" s="26">
        <v>77</v>
      </c>
      <c r="G10" s="26">
        <v>68</v>
      </c>
      <c r="H10" s="26">
        <v>78</v>
      </c>
      <c r="I10" s="15">
        <f t="shared" ref="I10" si="4">H10/G10-1</f>
        <v>0.14705882352941169</v>
      </c>
      <c r="J10" s="13">
        <v>1148</v>
      </c>
      <c r="K10" s="13">
        <v>1044</v>
      </c>
      <c r="L10" s="13">
        <v>1033</v>
      </c>
      <c r="M10" s="22">
        <f t="shared" ref="M10" si="5">L10/K10-1</f>
        <v>-1.0536398467432928E-2</v>
      </c>
      <c r="N10" s="13">
        <f t="shared" si="0"/>
        <v>1254</v>
      </c>
      <c r="O10" s="13">
        <f t="shared" si="0"/>
        <v>1123</v>
      </c>
      <c r="P10" s="13">
        <f t="shared" si="0"/>
        <v>1124</v>
      </c>
      <c r="Q10" s="15">
        <f t="shared" ref="Q10" si="6">P10/O10-1</f>
        <v>8.9047195013347569E-4</v>
      </c>
    </row>
    <row r="11" spans="1:17" s="40" customFormat="1" ht="12" customHeight="1" x14ac:dyDescent="0.2">
      <c r="A11" s="25" t="s">
        <v>231</v>
      </c>
      <c r="B11" s="26">
        <v>45</v>
      </c>
      <c r="C11" s="26">
        <v>32</v>
      </c>
      <c r="D11" s="26">
        <v>32</v>
      </c>
      <c r="E11" s="22">
        <f>D11/C11-1</f>
        <v>0</v>
      </c>
      <c r="F11" s="26">
        <v>129</v>
      </c>
      <c r="G11" s="26">
        <v>94</v>
      </c>
      <c r="H11" s="26">
        <v>117</v>
      </c>
      <c r="I11" s="15">
        <f>H11/G11-1</f>
        <v>0.24468085106382986</v>
      </c>
      <c r="J11" s="13">
        <v>1357</v>
      </c>
      <c r="K11" s="13">
        <v>1049</v>
      </c>
      <c r="L11" s="13">
        <v>1105</v>
      </c>
      <c r="M11" s="22">
        <f>L11/K11-1</f>
        <v>5.3384175405147838E-2</v>
      </c>
      <c r="N11" s="13">
        <f t="shared" si="0"/>
        <v>1531</v>
      </c>
      <c r="O11" s="13">
        <f t="shared" si="0"/>
        <v>1175</v>
      </c>
      <c r="P11" s="13">
        <f t="shared" si="0"/>
        <v>1254</v>
      </c>
      <c r="Q11" s="15">
        <f>P11/O11-1</f>
        <v>6.7234042553191431E-2</v>
      </c>
    </row>
    <row r="12" spans="1:17" s="40" customFormat="1" ht="12" customHeight="1" x14ac:dyDescent="0.2">
      <c r="A12" s="25" t="s">
        <v>232</v>
      </c>
      <c r="B12" s="26">
        <v>15</v>
      </c>
      <c r="C12" s="26">
        <v>11</v>
      </c>
      <c r="D12" s="26">
        <v>10</v>
      </c>
      <c r="E12" s="22">
        <f>D12/C12-1</f>
        <v>-9.0909090909090939E-2</v>
      </c>
      <c r="F12" s="26">
        <v>44</v>
      </c>
      <c r="G12" s="26">
        <v>29</v>
      </c>
      <c r="H12" s="26">
        <v>32</v>
      </c>
      <c r="I12" s="15">
        <f>H12/G12-1</f>
        <v>0.10344827586206895</v>
      </c>
      <c r="J12" s="26">
        <v>343</v>
      </c>
      <c r="K12" s="26">
        <v>263</v>
      </c>
      <c r="L12" s="26">
        <v>271</v>
      </c>
      <c r="M12" s="22">
        <f>L12/K12-1</f>
        <v>3.041825095057038E-2</v>
      </c>
      <c r="N12" s="13">
        <f t="shared" si="0"/>
        <v>402</v>
      </c>
      <c r="O12" s="13">
        <f t="shared" si="0"/>
        <v>303</v>
      </c>
      <c r="P12" s="13">
        <f t="shared" si="0"/>
        <v>313</v>
      </c>
      <c r="Q12" s="15">
        <f>P12/O12-1</f>
        <v>3.3003300330032959E-2</v>
      </c>
    </row>
    <row r="13" spans="1:17" s="40" customFormat="1" ht="12" customHeight="1" thickBot="1" x14ac:dyDescent="0.25">
      <c r="A13" s="27" t="s">
        <v>0</v>
      </c>
      <c r="B13" s="23">
        <f>SUM(B5:B12)</f>
        <v>140</v>
      </c>
      <c r="C13" s="16">
        <f t="shared" ref="C13:D13" si="7">SUM(C5:C12)</f>
        <v>109</v>
      </c>
      <c r="D13" s="16">
        <f t="shared" si="7"/>
        <v>111</v>
      </c>
      <c r="E13" s="24">
        <f>D13/C13-1</f>
        <v>1.8348623853210899E-2</v>
      </c>
      <c r="F13" s="16">
        <f t="shared" ref="F13:H13" si="8">SUM(F5:F12)</f>
        <v>450</v>
      </c>
      <c r="G13" s="16">
        <f t="shared" si="8"/>
        <v>350</v>
      </c>
      <c r="H13" s="16">
        <f t="shared" si="8"/>
        <v>426</v>
      </c>
      <c r="I13" s="17">
        <f>H13/G13-1</f>
        <v>0.21714285714285708</v>
      </c>
      <c r="J13" s="23">
        <f t="shared" ref="J13:L13" si="9">SUM(J5:J12)</f>
        <v>5391</v>
      </c>
      <c r="K13" s="16">
        <f t="shared" si="9"/>
        <v>4648</v>
      </c>
      <c r="L13" s="16">
        <f t="shared" si="9"/>
        <v>4847</v>
      </c>
      <c r="M13" s="24">
        <f>L13/K13-1</f>
        <v>4.2814113597246184E-2</v>
      </c>
      <c r="N13" s="16">
        <f t="shared" ref="N13:P13" si="10">SUM(N5:N12)</f>
        <v>5981</v>
      </c>
      <c r="O13" s="16">
        <f t="shared" si="10"/>
        <v>5107</v>
      </c>
      <c r="P13" s="16">
        <f t="shared" si="10"/>
        <v>5384</v>
      </c>
      <c r="Q13" s="17">
        <f>P13/O13-1</f>
        <v>5.4239279420403408E-2</v>
      </c>
    </row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3:H13" formulaRange="1"/>
    <ignoredError sqref="I13:M13" formula="1" formulaRange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FFFF-C5C8-4A8F-AB17-419E2494A6DD}">
  <sheetPr codeName="Planilha26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327</v>
      </c>
      <c r="B1" s="36"/>
      <c r="C1" s="36"/>
      <c r="D1" s="36"/>
      <c r="E1" s="36"/>
      <c r="F1" s="36"/>
    </row>
    <row r="2" spans="1:17" s="40" customFormat="1" ht="25.2" customHeight="1" thickBot="1" x14ac:dyDescent="0.25"/>
    <row r="3" spans="1:17" s="40" customFormat="1" ht="13.95" customHeight="1" x14ac:dyDescent="0.2">
      <c r="A3" s="213" t="s">
        <v>157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63</v>
      </c>
      <c r="B5" s="26">
        <v>126</v>
      </c>
      <c r="C5" s="26">
        <v>92</v>
      </c>
      <c r="D5" s="26">
        <v>93</v>
      </c>
      <c r="E5" s="22">
        <f>D5/C5-1</f>
        <v>1.0869565217391353E-2</v>
      </c>
      <c r="F5" s="26">
        <v>372</v>
      </c>
      <c r="G5" s="26">
        <v>293</v>
      </c>
      <c r="H5" s="26">
        <v>359</v>
      </c>
      <c r="I5" s="15">
        <f>H5/G5-1</f>
        <v>0.22525597269624575</v>
      </c>
      <c r="J5" s="13">
        <v>4424</v>
      </c>
      <c r="K5" s="13">
        <v>3988</v>
      </c>
      <c r="L5" s="13">
        <v>4128</v>
      </c>
      <c r="M5" s="22">
        <f>L5/K5-1</f>
        <v>3.5105315947843607E-2</v>
      </c>
      <c r="N5" s="13">
        <f t="shared" ref="N5:P11" si="0">B5+F5+J5</f>
        <v>4922</v>
      </c>
      <c r="O5" s="13">
        <f t="shared" si="0"/>
        <v>4373</v>
      </c>
      <c r="P5" s="13">
        <f t="shared" si="0"/>
        <v>4580</v>
      </c>
      <c r="Q5" s="81">
        <f>P5/O5-1</f>
        <v>4.7335924994283074E-2</v>
      </c>
    </row>
    <row r="6" spans="1:17" s="40" customFormat="1" ht="12" customHeight="1" x14ac:dyDescent="0.2">
      <c r="A6" s="25" t="s">
        <v>64</v>
      </c>
      <c r="B6" s="26">
        <v>13</v>
      </c>
      <c r="C6" s="26">
        <v>17</v>
      </c>
      <c r="D6" s="26">
        <v>17</v>
      </c>
      <c r="E6" s="22">
        <f t="shared" ref="E6" si="1">D6/C6-1</f>
        <v>0</v>
      </c>
      <c r="F6" s="26">
        <v>75</v>
      </c>
      <c r="G6" s="26">
        <v>57</v>
      </c>
      <c r="H6" s="26">
        <v>65</v>
      </c>
      <c r="I6" s="15">
        <f t="shared" ref="I6" si="2">H6/G6-1</f>
        <v>0.14035087719298245</v>
      </c>
      <c r="J6" s="26">
        <v>928</v>
      </c>
      <c r="K6" s="26">
        <v>636</v>
      </c>
      <c r="L6" s="26">
        <v>691</v>
      </c>
      <c r="M6" s="22">
        <f t="shared" ref="M6" si="3">L6/K6-1</f>
        <v>8.6477987421383684E-2</v>
      </c>
      <c r="N6" s="13">
        <f t="shared" si="0"/>
        <v>1016</v>
      </c>
      <c r="O6" s="13">
        <f t="shared" si="0"/>
        <v>710</v>
      </c>
      <c r="P6" s="13">
        <f t="shared" si="0"/>
        <v>773</v>
      </c>
      <c r="Q6" s="15">
        <f t="shared" ref="Q6" si="4">P6/O6-1</f>
        <v>8.8732394366197287E-2</v>
      </c>
    </row>
    <row r="7" spans="1:17" s="40" customFormat="1" ht="12" customHeight="1" x14ac:dyDescent="0.2">
      <c r="A7" s="25" t="s">
        <v>65</v>
      </c>
      <c r="B7" s="26">
        <v>0</v>
      </c>
      <c r="C7" s="26">
        <v>0</v>
      </c>
      <c r="D7" s="26">
        <v>1</v>
      </c>
      <c r="E7" s="22" t="s">
        <v>62</v>
      </c>
      <c r="F7" s="26">
        <v>1</v>
      </c>
      <c r="G7" s="26">
        <v>0</v>
      </c>
      <c r="H7" s="26">
        <v>1</v>
      </c>
      <c r="I7" s="15" t="s">
        <v>62</v>
      </c>
      <c r="J7" s="26">
        <v>18</v>
      </c>
      <c r="K7" s="26">
        <v>12</v>
      </c>
      <c r="L7" s="26">
        <v>11</v>
      </c>
      <c r="M7" s="22">
        <f>L7/K7-1</f>
        <v>-8.333333333333337E-2</v>
      </c>
      <c r="N7" s="13">
        <f t="shared" si="0"/>
        <v>19</v>
      </c>
      <c r="O7" s="13">
        <f t="shared" si="0"/>
        <v>12</v>
      </c>
      <c r="P7" s="13">
        <f t="shared" si="0"/>
        <v>13</v>
      </c>
      <c r="Q7" s="15">
        <f>P7/O7-1</f>
        <v>8.3333333333333259E-2</v>
      </c>
    </row>
    <row r="8" spans="1:17" s="40" customFormat="1" ht="12" customHeight="1" x14ac:dyDescent="0.2">
      <c r="A8" s="25" t="s">
        <v>276</v>
      </c>
      <c r="B8" s="26">
        <v>1</v>
      </c>
      <c r="C8" s="26">
        <v>0</v>
      </c>
      <c r="D8" s="26">
        <v>0</v>
      </c>
      <c r="E8" s="22" t="s">
        <v>62</v>
      </c>
      <c r="F8" s="26">
        <v>1</v>
      </c>
      <c r="G8" s="26">
        <v>0</v>
      </c>
      <c r="H8" s="26">
        <v>0</v>
      </c>
      <c r="I8" s="15" t="s">
        <v>62</v>
      </c>
      <c r="J8" s="26">
        <v>7</v>
      </c>
      <c r="K8" s="26">
        <v>2</v>
      </c>
      <c r="L8" s="26">
        <v>5</v>
      </c>
      <c r="M8" s="22">
        <f>L8/K8-1</f>
        <v>1.5</v>
      </c>
      <c r="N8" s="13">
        <f t="shared" si="0"/>
        <v>9</v>
      </c>
      <c r="O8" s="13">
        <f t="shared" si="0"/>
        <v>2</v>
      </c>
      <c r="P8" s="13">
        <f t="shared" si="0"/>
        <v>5</v>
      </c>
      <c r="Q8" s="15">
        <f>P8/O8-1</f>
        <v>1.5</v>
      </c>
    </row>
    <row r="9" spans="1:17" s="40" customFormat="1" ht="12" customHeight="1" x14ac:dyDescent="0.2">
      <c r="A9" s="25" t="s">
        <v>67</v>
      </c>
      <c r="B9" s="26">
        <v>0</v>
      </c>
      <c r="C9" s="26">
        <v>0</v>
      </c>
      <c r="D9" s="26">
        <v>0</v>
      </c>
      <c r="E9" s="22" t="s">
        <v>62</v>
      </c>
      <c r="F9" s="26">
        <v>0</v>
      </c>
      <c r="G9" s="26">
        <v>0</v>
      </c>
      <c r="H9" s="26">
        <v>0</v>
      </c>
      <c r="I9" s="15" t="s">
        <v>62</v>
      </c>
      <c r="J9" s="26">
        <v>1</v>
      </c>
      <c r="K9" s="26">
        <v>1</v>
      </c>
      <c r="L9" s="26">
        <v>1</v>
      </c>
      <c r="M9" s="22">
        <f>L9/K9-1</f>
        <v>0</v>
      </c>
      <c r="N9" s="13">
        <f t="shared" si="0"/>
        <v>1</v>
      </c>
      <c r="O9" s="13">
        <f t="shared" si="0"/>
        <v>1</v>
      </c>
      <c r="P9" s="13">
        <f t="shared" si="0"/>
        <v>1</v>
      </c>
      <c r="Q9" s="15">
        <f>P9/O9-1</f>
        <v>0</v>
      </c>
    </row>
    <row r="10" spans="1:17" s="40" customFormat="1" ht="12" customHeight="1" x14ac:dyDescent="0.2">
      <c r="A10" s="25" t="s">
        <v>68</v>
      </c>
      <c r="B10" s="26">
        <v>0</v>
      </c>
      <c r="C10" s="26">
        <v>0</v>
      </c>
      <c r="D10" s="26">
        <v>0</v>
      </c>
      <c r="E10" s="22" t="s">
        <v>62</v>
      </c>
      <c r="F10" s="26">
        <v>1</v>
      </c>
      <c r="G10" s="26">
        <v>0</v>
      </c>
      <c r="H10" s="26">
        <v>0</v>
      </c>
      <c r="I10" s="15" t="s">
        <v>62</v>
      </c>
      <c r="J10" s="26">
        <v>0</v>
      </c>
      <c r="K10" s="26">
        <v>0</v>
      </c>
      <c r="L10" s="26">
        <v>1</v>
      </c>
      <c r="M10" s="22" t="s">
        <v>62</v>
      </c>
      <c r="N10" s="13">
        <f t="shared" si="0"/>
        <v>1</v>
      </c>
      <c r="O10" s="13">
        <f t="shared" si="0"/>
        <v>0</v>
      </c>
      <c r="P10" s="13">
        <f t="shared" si="0"/>
        <v>1</v>
      </c>
      <c r="Q10" s="15" t="s">
        <v>62</v>
      </c>
    </row>
    <row r="11" spans="1:17" s="40" customFormat="1" ht="12" customHeight="1" x14ac:dyDescent="0.2">
      <c r="A11" s="25" t="s">
        <v>70</v>
      </c>
      <c r="B11" s="26">
        <v>0</v>
      </c>
      <c r="C11" s="26">
        <v>0</v>
      </c>
      <c r="D11" s="26">
        <v>0</v>
      </c>
      <c r="E11" s="22" t="s">
        <v>62</v>
      </c>
      <c r="F11" s="26">
        <v>0</v>
      </c>
      <c r="G11" s="26">
        <v>0</v>
      </c>
      <c r="H11" s="26">
        <v>1</v>
      </c>
      <c r="I11" s="15" t="s">
        <v>62</v>
      </c>
      <c r="J11" s="26">
        <v>13</v>
      </c>
      <c r="K11" s="26">
        <v>9</v>
      </c>
      <c r="L11" s="26">
        <v>10</v>
      </c>
      <c r="M11" s="22">
        <f>L11/K11-1</f>
        <v>0.11111111111111116</v>
      </c>
      <c r="N11" s="13">
        <f t="shared" si="0"/>
        <v>13</v>
      </c>
      <c r="O11" s="13">
        <f t="shared" si="0"/>
        <v>9</v>
      </c>
      <c r="P11" s="13">
        <f t="shared" si="0"/>
        <v>11</v>
      </c>
      <c r="Q11" s="15">
        <f>P11/O11-1</f>
        <v>0.22222222222222232</v>
      </c>
    </row>
    <row r="12" spans="1:17" s="40" customFormat="1" ht="12" customHeight="1" thickBot="1" x14ac:dyDescent="0.25">
      <c r="A12" s="27" t="s">
        <v>0</v>
      </c>
      <c r="B12" s="23">
        <f>SUM(B5:B11)</f>
        <v>140</v>
      </c>
      <c r="C12" s="16">
        <f t="shared" ref="C12:D12" si="5">SUM(C5:C11)</f>
        <v>109</v>
      </c>
      <c r="D12" s="16">
        <f t="shared" si="5"/>
        <v>111</v>
      </c>
      <c r="E12" s="24">
        <f>D12/C12-1</f>
        <v>1.8348623853210899E-2</v>
      </c>
      <c r="F12" s="16">
        <f t="shared" ref="F12:H12" si="6">SUM(F5:F11)</f>
        <v>450</v>
      </c>
      <c r="G12" s="16">
        <f t="shared" si="6"/>
        <v>350</v>
      </c>
      <c r="H12" s="16">
        <f t="shared" si="6"/>
        <v>426</v>
      </c>
      <c r="I12" s="17">
        <f>H12/G12-1</f>
        <v>0.21714285714285708</v>
      </c>
      <c r="J12" s="23">
        <f t="shared" ref="J12:L12" si="7">SUM(J5:J11)</f>
        <v>5391</v>
      </c>
      <c r="K12" s="16">
        <f t="shared" si="7"/>
        <v>4648</v>
      </c>
      <c r="L12" s="16">
        <f t="shared" si="7"/>
        <v>4847</v>
      </c>
      <c r="M12" s="24">
        <f>L12/K12-1</f>
        <v>4.2814113597246184E-2</v>
      </c>
      <c r="N12" s="16">
        <f t="shared" ref="N12:P12" si="8">SUM(N5:N11)</f>
        <v>5981</v>
      </c>
      <c r="O12" s="16">
        <f t="shared" si="8"/>
        <v>5107</v>
      </c>
      <c r="P12" s="16">
        <f t="shared" si="8"/>
        <v>5384</v>
      </c>
      <c r="Q12" s="17">
        <f>P12/O12-1</f>
        <v>5.4239279420403408E-2</v>
      </c>
    </row>
    <row r="13" spans="1:17" s="40" customFormat="1" ht="12" customHeight="1" x14ac:dyDescent="0.2">
      <c r="A13" s="40" t="s">
        <v>338</v>
      </c>
    </row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6" orientation="portrait" r:id="rId1"/>
  <ignoredErrors>
    <ignoredError sqref="B12:H12 N12:Q12" formulaRange="1"/>
    <ignoredError sqref="I12:M12" formula="1" formulaRange="1"/>
  </ignoredError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0EE1-7104-43CD-9375-C975346C5ADE}">
  <sheetPr codeName="Planilha27"/>
  <dimension ref="A1:Q33"/>
  <sheetViews>
    <sheetView showGridLines="0" zoomScale="120" zoomScaleNormal="120" zoomScaleSheetLayoutView="115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328</v>
      </c>
      <c r="B1" s="36"/>
      <c r="C1" s="36"/>
      <c r="D1" s="36"/>
      <c r="E1" s="36"/>
      <c r="F1" s="36"/>
    </row>
    <row r="2" spans="1:17" s="40" customFormat="1" ht="25.2" customHeight="1" thickBot="1" x14ac:dyDescent="0.25"/>
    <row r="3" spans="1:17" s="40" customFormat="1" ht="13.95" customHeight="1" x14ac:dyDescent="0.2">
      <c r="A3" s="213" t="s">
        <v>71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72</v>
      </c>
      <c r="B5" s="26">
        <v>76</v>
      </c>
      <c r="C5" s="26">
        <v>66</v>
      </c>
      <c r="D5" s="26">
        <v>59</v>
      </c>
      <c r="E5" s="22">
        <f>D5/C5-1</f>
        <v>-0.10606060606060608</v>
      </c>
      <c r="F5" s="26">
        <v>276</v>
      </c>
      <c r="G5" s="26">
        <v>217</v>
      </c>
      <c r="H5" s="26">
        <v>277</v>
      </c>
      <c r="I5" s="15">
        <f>H5/G5-1</f>
        <v>0.27649769585253448</v>
      </c>
      <c r="J5" s="13">
        <v>3800</v>
      </c>
      <c r="K5" s="13">
        <v>3441</v>
      </c>
      <c r="L5" s="13">
        <v>3576</v>
      </c>
      <c r="M5" s="22">
        <f>L5/K5-1</f>
        <v>3.9232781168265118E-2</v>
      </c>
      <c r="N5" s="13">
        <f>B5+F5+J5</f>
        <v>4152</v>
      </c>
      <c r="O5" s="13">
        <f t="shared" ref="O5:O8" si="0">C5+G5+K5</f>
        <v>3724</v>
      </c>
      <c r="P5" s="13">
        <f t="shared" ref="P5:P8" si="1">D5+H5+L5</f>
        <v>3912</v>
      </c>
      <c r="Q5" s="15">
        <f>P5/O5-1</f>
        <v>5.0483351235230955E-2</v>
      </c>
    </row>
    <row r="6" spans="1:17" s="40" customFormat="1" ht="12" customHeight="1" x14ac:dyDescent="0.2">
      <c r="A6" s="25" t="s">
        <v>73</v>
      </c>
      <c r="B6" s="26">
        <v>60</v>
      </c>
      <c r="C6" s="26">
        <v>40</v>
      </c>
      <c r="D6" s="26">
        <v>45</v>
      </c>
      <c r="E6" s="22">
        <f>D6/C6-1</f>
        <v>0.125</v>
      </c>
      <c r="F6" s="26">
        <v>146</v>
      </c>
      <c r="G6" s="26">
        <v>116</v>
      </c>
      <c r="H6" s="26">
        <v>131</v>
      </c>
      <c r="I6" s="15">
        <f t="shared" ref="I6" si="2">H6/G6-1</f>
        <v>0.1293103448275863</v>
      </c>
      <c r="J6" s="13">
        <v>1372</v>
      </c>
      <c r="K6" s="13">
        <v>1038</v>
      </c>
      <c r="L6" s="13">
        <v>1117</v>
      </c>
      <c r="M6" s="22">
        <f t="shared" ref="M6" si="3">L6/K6-1</f>
        <v>7.6107899807321688E-2</v>
      </c>
      <c r="N6" s="13">
        <f t="shared" ref="N6:N8" si="4">B6+F6+J6</f>
        <v>1578</v>
      </c>
      <c r="O6" s="13">
        <f t="shared" si="0"/>
        <v>1194</v>
      </c>
      <c r="P6" s="13">
        <f t="shared" si="1"/>
        <v>1293</v>
      </c>
      <c r="Q6" s="15">
        <f t="shared" ref="Q6" si="5">P6/O6-1</f>
        <v>8.2914572864321689E-2</v>
      </c>
    </row>
    <row r="7" spans="1:17" s="40" customFormat="1" ht="12" customHeight="1" x14ac:dyDescent="0.2">
      <c r="A7" s="25" t="s">
        <v>205</v>
      </c>
      <c r="B7" s="26">
        <v>4</v>
      </c>
      <c r="C7" s="26">
        <v>3</v>
      </c>
      <c r="D7" s="26">
        <v>7</v>
      </c>
      <c r="E7" s="22">
        <f>D7/C7-1</f>
        <v>1.3333333333333335</v>
      </c>
      <c r="F7" s="26">
        <v>28</v>
      </c>
      <c r="G7" s="26">
        <v>17</v>
      </c>
      <c r="H7" s="26">
        <v>18</v>
      </c>
      <c r="I7" s="15">
        <f>H7/G7-1</f>
        <v>5.8823529411764719E-2</v>
      </c>
      <c r="J7" s="26">
        <v>214</v>
      </c>
      <c r="K7" s="26">
        <v>169</v>
      </c>
      <c r="L7" s="26">
        <v>154</v>
      </c>
      <c r="M7" s="22">
        <f>L7/K7-1</f>
        <v>-8.8757396449704151E-2</v>
      </c>
      <c r="N7" s="13">
        <f t="shared" si="4"/>
        <v>246</v>
      </c>
      <c r="O7" s="13">
        <f t="shared" si="0"/>
        <v>189</v>
      </c>
      <c r="P7" s="13">
        <f t="shared" si="1"/>
        <v>179</v>
      </c>
      <c r="Q7" s="15">
        <f>P7/O7-1</f>
        <v>-5.2910052910052907E-2</v>
      </c>
    </row>
    <row r="8" spans="1:17" s="40" customFormat="1" ht="12" customHeight="1" x14ac:dyDescent="0.2">
      <c r="A8" s="25" t="s">
        <v>70</v>
      </c>
      <c r="B8" s="26">
        <v>0</v>
      </c>
      <c r="C8" s="26">
        <v>0</v>
      </c>
      <c r="D8" s="26">
        <v>0</v>
      </c>
      <c r="E8" s="22" t="s">
        <v>62</v>
      </c>
      <c r="F8" s="26">
        <v>0</v>
      </c>
      <c r="G8" s="26">
        <v>0</v>
      </c>
      <c r="H8" s="26">
        <v>0</v>
      </c>
      <c r="I8" s="15" t="s">
        <v>62</v>
      </c>
      <c r="J8" s="26">
        <v>5</v>
      </c>
      <c r="K8" s="26">
        <v>0</v>
      </c>
      <c r="L8" s="26">
        <v>0</v>
      </c>
      <c r="M8" s="22" t="s">
        <v>62</v>
      </c>
      <c r="N8" s="13">
        <f t="shared" si="4"/>
        <v>5</v>
      </c>
      <c r="O8" s="13">
        <f t="shared" si="0"/>
        <v>0</v>
      </c>
      <c r="P8" s="13">
        <f t="shared" si="1"/>
        <v>0</v>
      </c>
      <c r="Q8" s="15" t="s">
        <v>62</v>
      </c>
    </row>
    <row r="9" spans="1:17" s="40" customFormat="1" ht="12" customHeight="1" thickBot="1" x14ac:dyDescent="0.25">
      <c r="A9" s="27" t="s">
        <v>0</v>
      </c>
      <c r="B9" s="23">
        <f>SUM(B5:B8)</f>
        <v>140</v>
      </c>
      <c r="C9" s="16">
        <f t="shared" ref="C9:D9" si="6">SUM(C5:C8)</f>
        <v>109</v>
      </c>
      <c r="D9" s="16">
        <f t="shared" si="6"/>
        <v>111</v>
      </c>
      <c r="E9" s="24">
        <f>D9/C9-1</f>
        <v>1.8348623853210899E-2</v>
      </c>
      <c r="F9" s="16">
        <f t="shared" ref="F9:H9" si="7">SUM(F5:F8)</f>
        <v>450</v>
      </c>
      <c r="G9" s="16">
        <f t="shared" si="7"/>
        <v>350</v>
      </c>
      <c r="H9" s="16">
        <f t="shared" si="7"/>
        <v>426</v>
      </c>
      <c r="I9" s="17">
        <f>H9/G9-1</f>
        <v>0.21714285714285708</v>
      </c>
      <c r="J9" s="23">
        <f t="shared" ref="J9:L9" si="8">SUM(J5:J8)</f>
        <v>5391</v>
      </c>
      <c r="K9" s="16">
        <f t="shared" si="8"/>
        <v>4648</v>
      </c>
      <c r="L9" s="16">
        <f t="shared" si="8"/>
        <v>4847</v>
      </c>
      <c r="M9" s="24">
        <f>L9/K9-1</f>
        <v>4.2814113597246184E-2</v>
      </c>
      <c r="N9" s="16">
        <f t="shared" ref="N9:P9" si="9">SUM(N5:N8)</f>
        <v>5981</v>
      </c>
      <c r="O9" s="16">
        <f t="shared" si="9"/>
        <v>5107</v>
      </c>
      <c r="P9" s="16">
        <f t="shared" si="9"/>
        <v>5384</v>
      </c>
      <c r="Q9" s="17">
        <f>P9/O9-1</f>
        <v>5.4239279420403408E-2</v>
      </c>
    </row>
    <row r="10" spans="1:17" s="40" customFormat="1" ht="12" customHeight="1" x14ac:dyDescent="0.2">
      <c r="A10" s="40" t="s">
        <v>338</v>
      </c>
    </row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9:H9 N9:Q9" formulaRange="1"/>
    <ignoredError sqref="I9:M9" formula="1" formulaRange="1"/>
  </ignoredError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4AE-E743-44FA-80BC-38B9634E0BCA}">
  <sheetPr codeName="Planilha28"/>
  <dimension ref="A1:Q33"/>
  <sheetViews>
    <sheetView showGridLines="0" zoomScale="120" zoomScaleNormal="120" zoomScaleSheetLayoutView="115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329</v>
      </c>
      <c r="B1" s="36"/>
      <c r="C1" s="36"/>
      <c r="D1" s="36"/>
      <c r="E1" s="36"/>
      <c r="F1" s="36"/>
    </row>
    <row r="2" spans="1:17" s="40" customFormat="1" ht="25.2" customHeight="1" thickBot="1" x14ac:dyDescent="0.25"/>
    <row r="3" spans="1:17" s="40" customFormat="1" ht="13.95" customHeight="1" x14ac:dyDescent="0.2">
      <c r="A3" s="213" t="s">
        <v>74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206</v>
      </c>
      <c r="B5" s="26">
        <v>115</v>
      </c>
      <c r="C5" s="26">
        <v>85</v>
      </c>
      <c r="D5" s="26">
        <v>91</v>
      </c>
      <c r="E5" s="22">
        <f>D5/C5-1</f>
        <v>7.0588235294117618E-2</v>
      </c>
      <c r="F5" s="26">
        <v>408</v>
      </c>
      <c r="G5" s="26">
        <v>325</v>
      </c>
      <c r="H5" s="26">
        <v>396</v>
      </c>
      <c r="I5" s="15">
        <f>H5/G5-1</f>
        <v>0.21846153846153848</v>
      </c>
      <c r="J5" s="13">
        <v>5290</v>
      </c>
      <c r="K5" s="13">
        <v>4558</v>
      </c>
      <c r="L5" s="13">
        <v>4776</v>
      </c>
      <c r="M5" s="22">
        <f>L5/K5-1</f>
        <v>4.7827994734532586E-2</v>
      </c>
      <c r="N5" s="13">
        <f t="shared" ref="N5:P6" si="0">B5+F5+J5</f>
        <v>5813</v>
      </c>
      <c r="O5" s="13">
        <f t="shared" si="0"/>
        <v>4968</v>
      </c>
      <c r="P5" s="68">
        <f t="shared" si="0"/>
        <v>5263</v>
      </c>
      <c r="Q5" s="81">
        <f>P5/O5-1</f>
        <v>5.9380032206119093E-2</v>
      </c>
    </row>
    <row r="6" spans="1:17" s="40" customFormat="1" ht="12" customHeight="1" x14ac:dyDescent="0.2">
      <c r="A6" s="25" t="s">
        <v>207</v>
      </c>
      <c r="B6" s="26">
        <v>25</v>
      </c>
      <c r="C6" s="26">
        <v>24</v>
      </c>
      <c r="D6" s="26">
        <v>20</v>
      </c>
      <c r="E6" s="22">
        <f t="shared" ref="E6" si="1">D6/C6-1</f>
        <v>-0.16666666666666663</v>
      </c>
      <c r="F6" s="26">
        <v>42</v>
      </c>
      <c r="G6" s="26">
        <v>25</v>
      </c>
      <c r="H6" s="26">
        <v>30</v>
      </c>
      <c r="I6" s="15">
        <f t="shared" ref="I6" si="2">H6/G6-1</f>
        <v>0.19999999999999996</v>
      </c>
      <c r="J6" s="26">
        <v>101</v>
      </c>
      <c r="K6" s="26">
        <v>90</v>
      </c>
      <c r="L6" s="26">
        <v>71</v>
      </c>
      <c r="M6" s="22">
        <f t="shared" ref="M6" si="3">L6/K6-1</f>
        <v>-0.21111111111111114</v>
      </c>
      <c r="N6" s="13">
        <f t="shared" si="0"/>
        <v>168</v>
      </c>
      <c r="O6" s="13">
        <f t="shared" si="0"/>
        <v>139</v>
      </c>
      <c r="P6" s="13">
        <f t="shared" si="0"/>
        <v>121</v>
      </c>
      <c r="Q6" s="15">
        <f t="shared" ref="Q6" si="4">P6/O6-1</f>
        <v>-0.12949640287769781</v>
      </c>
    </row>
    <row r="7" spans="1:17" s="40" customFormat="1" ht="12" customHeight="1" thickBot="1" x14ac:dyDescent="0.25">
      <c r="A7" s="27" t="s">
        <v>0</v>
      </c>
      <c r="B7" s="23">
        <f>SUM(B5:B6)</f>
        <v>140</v>
      </c>
      <c r="C7" s="16">
        <f>SUM(C5:C6)</f>
        <v>109</v>
      </c>
      <c r="D7" s="16">
        <f>SUM(D5:D6)</f>
        <v>111</v>
      </c>
      <c r="E7" s="24">
        <f>D7/C7-1</f>
        <v>1.8348623853210899E-2</v>
      </c>
      <c r="F7" s="16">
        <f>SUM(F5:F6)</f>
        <v>450</v>
      </c>
      <c r="G7" s="16">
        <f>SUM(G5:G6)</f>
        <v>350</v>
      </c>
      <c r="H7" s="16">
        <f>SUM(H5:H6)</f>
        <v>426</v>
      </c>
      <c r="I7" s="17">
        <f>H7/G7-1</f>
        <v>0.21714285714285708</v>
      </c>
      <c r="J7" s="23">
        <f>SUM(J5:J6)</f>
        <v>5391</v>
      </c>
      <c r="K7" s="16">
        <f>SUM(K5:K6)</f>
        <v>4648</v>
      </c>
      <c r="L7" s="16">
        <f>SUM(L5:L6)</f>
        <v>4847</v>
      </c>
      <c r="M7" s="24">
        <f>L7/K7-1</f>
        <v>4.2814113597246184E-2</v>
      </c>
      <c r="N7" s="16">
        <f>SUM(N5:N6)</f>
        <v>5981</v>
      </c>
      <c r="O7" s="16">
        <f>SUM(O5:O6)</f>
        <v>5107</v>
      </c>
      <c r="P7" s="16">
        <f>SUM(P5:P6)</f>
        <v>5384</v>
      </c>
      <c r="Q7" s="17">
        <f>P7/O7-1</f>
        <v>5.4239279420403408E-2</v>
      </c>
    </row>
    <row r="8" spans="1:17" s="40" customFormat="1" ht="12" customHeight="1" x14ac:dyDescent="0.2"/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7:D7" formulaRange="1"/>
    <ignoredError sqref="E7:M7" formula="1" formulaRange="1"/>
  </ignoredError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62F6-1B45-4FC7-BFBE-BEF598F2A718}">
  <sheetPr codeName="Planilha29"/>
  <dimension ref="A1:Q33"/>
  <sheetViews>
    <sheetView showGridLines="0" zoomScale="120" zoomScaleNormal="120" zoomScaleSheetLayoutView="115" workbookViewId="0">
      <selection activeCell="G1" sqref="G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330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144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280</v>
      </c>
      <c r="B5" s="26">
        <v>6</v>
      </c>
      <c r="C5" s="26">
        <v>8</v>
      </c>
      <c r="D5" s="26">
        <v>4</v>
      </c>
      <c r="E5" s="22">
        <f>D5/C5-1</f>
        <v>-0.5</v>
      </c>
      <c r="F5" s="26">
        <v>7</v>
      </c>
      <c r="G5" s="26">
        <v>5</v>
      </c>
      <c r="H5" s="26">
        <v>7</v>
      </c>
      <c r="I5" s="15">
        <f>H5/G5-1</f>
        <v>0.39999999999999991</v>
      </c>
      <c r="J5" s="26">
        <v>18</v>
      </c>
      <c r="K5" s="26">
        <v>17</v>
      </c>
      <c r="L5" s="26">
        <v>7</v>
      </c>
      <c r="M5" s="22">
        <f>L5/K5-1</f>
        <v>-0.58823529411764708</v>
      </c>
      <c r="N5" s="13">
        <f t="shared" ref="N5:P12" si="0">B5+F5+J5</f>
        <v>31</v>
      </c>
      <c r="O5" s="13">
        <v>30</v>
      </c>
      <c r="P5" s="68">
        <v>18</v>
      </c>
      <c r="Q5" s="81">
        <f>P5/O5-1</f>
        <v>-0.4</v>
      </c>
    </row>
    <row r="6" spans="1:17" s="40" customFormat="1" ht="12" customHeight="1" x14ac:dyDescent="0.2">
      <c r="A6" s="25" t="s">
        <v>281</v>
      </c>
      <c r="B6" s="26">
        <v>91</v>
      </c>
      <c r="C6" s="26">
        <v>67</v>
      </c>
      <c r="D6" s="26">
        <v>67</v>
      </c>
      <c r="E6" s="22">
        <f t="shared" ref="E6:E12" si="1">D6/C6-1</f>
        <v>0</v>
      </c>
      <c r="F6" s="26">
        <v>347</v>
      </c>
      <c r="G6" s="26">
        <v>277</v>
      </c>
      <c r="H6" s="26">
        <v>323</v>
      </c>
      <c r="I6" s="15">
        <f t="shared" ref="I6:I12" si="2">H6/G6-1</f>
        <v>0.1660649819494584</v>
      </c>
      <c r="J6" s="13">
        <v>4957</v>
      </c>
      <c r="K6" s="13">
        <v>4237</v>
      </c>
      <c r="L6" s="13">
        <v>4410</v>
      </c>
      <c r="M6" s="22">
        <f t="shared" ref="M6:M12" si="3">L6/K6-1</f>
        <v>4.0830776492801535E-2</v>
      </c>
      <c r="N6" s="13">
        <f t="shared" si="0"/>
        <v>5395</v>
      </c>
      <c r="O6" s="13">
        <v>4581</v>
      </c>
      <c r="P6" s="13">
        <v>4800</v>
      </c>
      <c r="Q6" s="15">
        <f t="shared" ref="Q6:Q12" si="4">P6/O6-1</f>
        <v>4.7806155861165767E-2</v>
      </c>
    </row>
    <row r="7" spans="1:17" s="40" customFormat="1" ht="12" customHeight="1" x14ac:dyDescent="0.2">
      <c r="A7" s="25" t="s">
        <v>282</v>
      </c>
      <c r="B7" s="26">
        <v>3</v>
      </c>
      <c r="C7" s="26">
        <v>1</v>
      </c>
      <c r="D7" s="26">
        <v>3</v>
      </c>
      <c r="E7" s="22">
        <f t="shared" si="1"/>
        <v>2</v>
      </c>
      <c r="F7" s="26">
        <v>10</v>
      </c>
      <c r="G7" s="26">
        <v>2</v>
      </c>
      <c r="H7" s="26">
        <v>13</v>
      </c>
      <c r="I7" s="15">
        <f t="shared" si="2"/>
        <v>5.5</v>
      </c>
      <c r="J7" s="26">
        <v>31</v>
      </c>
      <c r="K7" s="26">
        <v>28</v>
      </c>
      <c r="L7" s="26">
        <v>21</v>
      </c>
      <c r="M7" s="22">
        <f t="shared" si="3"/>
        <v>-0.25</v>
      </c>
      <c r="N7" s="13">
        <f t="shared" si="0"/>
        <v>44</v>
      </c>
      <c r="O7" s="13">
        <v>31</v>
      </c>
      <c r="P7" s="13">
        <v>37</v>
      </c>
      <c r="Q7" s="15">
        <f t="shared" si="4"/>
        <v>0.19354838709677424</v>
      </c>
    </row>
    <row r="8" spans="1:17" s="40" customFormat="1" ht="12" customHeight="1" x14ac:dyDescent="0.2">
      <c r="A8" s="25" t="s">
        <v>283</v>
      </c>
      <c r="B8" s="26">
        <v>27</v>
      </c>
      <c r="C8" s="26">
        <v>22</v>
      </c>
      <c r="D8" s="26">
        <v>26</v>
      </c>
      <c r="E8" s="22">
        <f t="shared" si="1"/>
        <v>0.18181818181818188</v>
      </c>
      <c r="F8" s="26">
        <v>53</v>
      </c>
      <c r="G8" s="26">
        <v>47</v>
      </c>
      <c r="H8" s="26">
        <v>67</v>
      </c>
      <c r="I8" s="15">
        <f t="shared" si="2"/>
        <v>0.42553191489361697</v>
      </c>
      <c r="J8" s="26">
        <v>255</v>
      </c>
      <c r="K8" s="26">
        <v>239</v>
      </c>
      <c r="L8" s="26">
        <v>263</v>
      </c>
      <c r="M8" s="22">
        <f t="shared" si="3"/>
        <v>0.10041841004184104</v>
      </c>
      <c r="N8" s="13">
        <f t="shared" si="0"/>
        <v>335</v>
      </c>
      <c r="O8" s="13">
        <v>308</v>
      </c>
      <c r="P8" s="13">
        <v>356</v>
      </c>
      <c r="Q8" s="15">
        <f t="shared" si="4"/>
        <v>0.1558441558441559</v>
      </c>
    </row>
    <row r="9" spans="1:17" s="40" customFormat="1" ht="12" customHeight="1" x14ac:dyDescent="0.2">
      <c r="A9" s="25" t="s">
        <v>284</v>
      </c>
      <c r="B9" s="26">
        <v>4</v>
      </c>
      <c r="C9" s="26">
        <v>4</v>
      </c>
      <c r="D9" s="26">
        <v>2</v>
      </c>
      <c r="E9" s="22">
        <f t="shared" si="1"/>
        <v>-0.5</v>
      </c>
      <c r="F9" s="26">
        <v>4</v>
      </c>
      <c r="G9" s="26">
        <v>6</v>
      </c>
      <c r="H9" s="26">
        <v>4</v>
      </c>
      <c r="I9" s="15">
        <f t="shared" si="2"/>
        <v>-0.33333333333333337</v>
      </c>
      <c r="J9" s="26">
        <v>18</v>
      </c>
      <c r="K9" s="26">
        <v>14</v>
      </c>
      <c r="L9" s="26">
        <v>13</v>
      </c>
      <c r="M9" s="22">
        <f t="shared" si="3"/>
        <v>-7.1428571428571397E-2</v>
      </c>
      <c r="N9" s="13">
        <f t="shared" si="0"/>
        <v>26</v>
      </c>
      <c r="O9" s="13">
        <v>24</v>
      </c>
      <c r="P9" s="13">
        <v>19</v>
      </c>
      <c r="Q9" s="15">
        <f t="shared" si="4"/>
        <v>-0.20833333333333337</v>
      </c>
    </row>
    <row r="10" spans="1:17" s="40" customFormat="1" ht="12" customHeight="1" x14ac:dyDescent="0.2">
      <c r="A10" s="25" t="s">
        <v>285</v>
      </c>
      <c r="B10" s="26">
        <v>7</v>
      </c>
      <c r="C10" s="26">
        <v>3</v>
      </c>
      <c r="D10" s="26">
        <v>3</v>
      </c>
      <c r="E10" s="22">
        <f t="shared" si="1"/>
        <v>0</v>
      </c>
      <c r="F10" s="26">
        <v>8</v>
      </c>
      <c r="G10" s="26">
        <v>5</v>
      </c>
      <c r="H10" s="26">
        <v>2</v>
      </c>
      <c r="I10" s="15">
        <f t="shared" ref="I10" si="5">H10/G10-1</f>
        <v>-0.6</v>
      </c>
      <c r="J10" s="26">
        <v>8</v>
      </c>
      <c r="K10" s="26">
        <v>6</v>
      </c>
      <c r="L10" s="26">
        <v>9</v>
      </c>
      <c r="M10" s="22">
        <f t="shared" si="3"/>
        <v>0.5</v>
      </c>
      <c r="N10" s="13">
        <f t="shared" si="0"/>
        <v>23</v>
      </c>
      <c r="O10" s="13">
        <v>14</v>
      </c>
      <c r="P10" s="13">
        <v>14</v>
      </c>
      <c r="Q10" s="15">
        <f t="shared" si="4"/>
        <v>0</v>
      </c>
    </row>
    <row r="11" spans="1:17" s="40" customFormat="1" ht="12" customHeight="1" x14ac:dyDescent="0.2">
      <c r="A11" s="25" t="s">
        <v>286</v>
      </c>
      <c r="B11" s="26">
        <v>0</v>
      </c>
      <c r="C11" s="26">
        <v>0</v>
      </c>
      <c r="D11" s="26">
        <v>1</v>
      </c>
      <c r="E11" s="22" t="s">
        <v>62</v>
      </c>
      <c r="F11" s="26">
        <v>0</v>
      </c>
      <c r="G11" s="26">
        <v>0</v>
      </c>
      <c r="H11" s="26">
        <v>1</v>
      </c>
      <c r="I11" s="22" t="s">
        <v>62</v>
      </c>
      <c r="J11" s="26">
        <v>0</v>
      </c>
      <c r="K11" s="26">
        <v>5</v>
      </c>
      <c r="L11" s="26">
        <v>3</v>
      </c>
      <c r="M11" s="22">
        <f t="shared" si="3"/>
        <v>-0.4</v>
      </c>
      <c r="N11" s="13">
        <f t="shared" si="0"/>
        <v>0</v>
      </c>
      <c r="O11" s="13">
        <v>5</v>
      </c>
      <c r="P11" s="13">
        <v>5</v>
      </c>
      <c r="Q11" s="15">
        <f t="shared" si="4"/>
        <v>0</v>
      </c>
    </row>
    <row r="12" spans="1:17" s="40" customFormat="1" ht="12" customHeight="1" x14ac:dyDescent="0.2">
      <c r="A12" s="25" t="s">
        <v>291</v>
      </c>
      <c r="B12" s="26">
        <v>2</v>
      </c>
      <c r="C12" s="26">
        <v>4</v>
      </c>
      <c r="D12" s="26">
        <v>5</v>
      </c>
      <c r="E12" s="22">
        <f t="shared" si="1"/>
        <v>0.25</v>
      </c>
      <c r="F12" s="26">
        <v>21</v>
      </c>
      <c r="G12" s="26">
        <v>8</v>
      </c>
      <c r="H12" s="26">
        <v>9</v>
      </c>
      <c r="I12" s="15">
        <f t="shared" si="2"/>
        <v>0.125</v>
      </c>
      <c r="J12" s="26">
        <v>104</v>
      </c>
      <c r="K12" s="26">
        <v>102</v>
      </c>
      <c r="L12" s="26">
        <v>121</v>
      </c>
      <c r="M12" s="22">
        <f t="shared" si="3"/>
        <v>0.18627450980392157</v>
      </c>
      <c r="N12" s="13">
        <f t="shared" si="0"/>
        <v>127</v>
      </c>
      <c r="O12" s="13">
        <v>114</v>
      </c>
      <c r="P12" s="13">
        <v>135</v>
      </c>
      <c r="Q12" s="15">
        <f t="shared" si="4"/>
        <v>0.18421052631578938</v>
      </c>
    </row>
    <row r="13" spans="1:17" s="40" customFormat="1" ht="12" customHeight="1" thickBot="1" x14ac:dyDescent="0.25">
      <c r="A13" s="27" t="s">
        <v>0</v>
      </c>
      <c r="B13" s="23">
        <f>SUM(B5:B12)</f>
        <v>140</v>
      </c>
      <c r="C13" s="16">
        <f t="shared" ref="C13:D13" si="6">SUM(C5:C12)</f>
        <v>109</v>
      </c>
      <c r="D13" s="16">
        <f t="shared" si="6"/>
        <v>111</v>
      </c>
      <c r="E13" s="24">
        <f>D13/C13-1</f>
        <v>1.8348623853210899E-2</v>
      </c>
      <c r="F13" s="16">
        <f t="shared" ref="F13:H13" si="7">SUM(F5:F12)</f>
        <v>450</v>
      </c>
      <c r="G13" s="16">
        <f t="shared" si="7"/>
        <v>350</v>
      </c>
      <c r="H13" s="16">
        <f t="shared" si="7"/>
        <v>426</v>
      </c>
      <c r="I13" s="17">
        <f>H13/G13-1</f>
        <v>0.21714285714285708</v>
      </c>
      <c r="J13" s="23">
        <f t="shared" ref="J13:L13" si="8">SUM(J5:J12)</f>
        <v>5391</v>
      </c>
      <c r="K13" s="16">
        <f t="shared" si="8"/>
        <v>4648</v>
      </c>
      <c r="L13" s="16">
        <f t="shared" si="8"/>
        <v>4847</v>
      </c>
      <c r="M13" s="24">
        <f>L13/K13-1</f>
        <v>4.2814113597246184E-2</v>
      </c>
      <c r="N13" s="16">
        <f>SUM(N5:N12)</f>
        <v>5981</v>
      </c>
      <c r="O13" s="16">
        <f t="shared" ref="O13:P13" si="9">SUM(O5:O12)</f>
        <v>5107</v>
      </c>
      <c r="P13" s="16">
        <f t="shared" si="9"/>
        <v>5384</v>
      </c>
      <c r="Q13" s="17">
        <f>P13/O13-1</f>
        <v>5.4239279420403408E-2</v>
      </c>
    </row>
    <row r="14" spans="1:17" s="40" customFormat="1" ht="9" customHeight="1" x14ac:dyDescent="0.2">
      <c r="A14" s="106" t="s">
        <v>308</v>
      </c>
    </row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3:H13 N13:Q13" formulaRange="1"/>
    <ignoredError sqref="I13:M13" formula="1" formulaRange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C5A0-9127-4C33-BE1D-AC7FA78F9635}">
  <sheetPr codeName="Planilha30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349</v>
      </c>
      <c r="B1" s="36"/>
      <c r="C1" s="36"/>
      <c r="D1" s="36"/>
      <c r="E1" s="36"/>
      <c r="F1" s="36"/>
    </row>
    <row r="2" spans="1:17" s="40" customFormat="1" ht="25.2" customHeight="1" thickBot="1" x14ac:dyDescent="0.25"/>
    <row r="3" spans="1:17" s="40" customFormat="1" ht="13.95" customHeight="1" x14ac:dyDescent="0.2">
      <c r="A3" s="213" t="s">
        <v>348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4</v>
      </c>
      <c r="B5" s="26">
        <v>5</v>
      </c>
      <c r="C5" s="26">
        <v>6</v>
      </c>
      <c r="D5" s="26">
        <v>7</v>
      </c>
      <c r="E5" s="22">
        <f>D5/C5-1</f>
        <v>0.16666666666666674</v>
      </c>
      <c r="F5" s="26">
        <v>27</v>
      </c>
      <c r="G5" s="26">
        <v>24</v>
      </c>
      <c r="H5" s="26">
        <v>26</v>
      </c>
      <c r="I5" s="15">
        <f>H5/G5-1</f>
        <v>8.3333333333333259E-2</v>
      </c>
      <c r="J5" s="26">
        <v>283</v>
      </c>
      <c r="K5" s="26">
        <v>267</v>
      </c>
      <c r="L5" s="26">
        <v>232</v>
      </c>
      <c r="M5" s="22">
        <f>L5/K5-1</f>
        <v>-0.13108614232209737</v>
      </c>
      <c r="N5" s="13">
        <f t="shared" ref="N5:N24" si="0">B5+F5+J5</f>
        <v>315</v>
      </c>
      <c r="O5" s="13">
        <f t="shared" ref="O5:O24" si="1">C5+G5+K5</f>
        <v>297</v>
      </c>
      <c r="P5" s="13">
        <f t="shared" ref="P5:P24" si="2">D5+H5+L5</f>
        <v>265</v>
      </c>
      <c r="Q5" s="81">
        <f>P5/O5-1</f>
        <v>-0.1077441077441077</v>
      </c>
    </row>
    <row r="6" spans="1:17" s="40" customFormat="1" ht="12" customHeight="1" x14ac:dyDescent="0.2">
      <c r="A6" s="25" t="s">
        <v>5</v>
      </c>
      <c r="B6" s="26">
        <v>2</v>
      </c>
      <c r="C6" s="26">
        <v>3</v>
      </c>
      <c r="D6" s="26">
        <v>5</v>
      </c>
      <c r="E6" s="22">
        <f t="shared" ref="E6:E13" si="3">D6/C6-1</f>
        <v>0.66666666666666674</v>
      </c>
      <c r="F6" s="26">
        <v>9</v>
      </c>
      <c r="G6" s="26">
        <v>5</v>
      </c>
      <c r="H6" s="26">
        <v>11</v>
      </c>
      <c r="I6" s="15">
        <f t="shared" ref="I6:I24" si="4">H6/G6-1</f>
        <v>1.2000000000000002</v>
      </c>
      <c r="J6" s="26">
        <v>35</v>
      </c>
      <c r="K6" s="26">
        <v>37</v>
      </c>
      <c r="L6" s="26">
        <v>33</v>
      </c>
      <c r="M6" s="22">
        <f t="shared" ref="M6:M24" si="5">L6/K6-1</f>
        <v>-0.10810810810810811</v>
      </c>
      <c r="N6" s="13">
        <f t="shared" si="0"/>
        <v>46</v>
      </c>
      <c r="O6" s="13">
        <f t="shared" si="1"/>
        <v>45</v>
      </c>
      <c r="P6" s="13">
        <f t="shared" si="2"/>
        <v>49</v>
      </c>
      <c r="Q6" s="15">
        <f t="shared" ref="Q6:Q24" si="6">P6/O6-1</f>
        <v>8.8888888888888795E-2</v>
      </c>
    </row>
    <row r="7" spans="1:17" s="40" customFormat="1" ht="12" customHeight="1" x14ac:dyDescent="0.2">
      <c r="A7" s="25" t="s">
        <v>6</v>
      </c>
      <c r="B7" s="26">
        <v>11</v>
      </c>
      <c r="C7" s="26">
        <v>14</v>
      </c>
      <c r="D7" s="26">
        <v>12</v>
      </c>
      <c r="E7" s="22">
        <f t="shared" si="3"/>
        <v>-0.1428571428571429</v>
      </c>
      <c r="F7" s="26">
        <v>35</v>
      </c>
      <c r="G7" s="26">
        <v>27</v>
      </c>
      <c r="H7" s="26">
        <v>53</v>
      </c>
      <c r="I7" s="15">
        <f t="shared" si="4"/>
        <v>0.96296296296296302</v>
      </c>
      <c r="J7" s="26">
        <v>417</v>
      </c>
      <c r="K7" s="26">
        <v>372</v>
      </c>
      <c r="L7" s="26">
        <v>402</v>
      </c>
      <c r="M7" s="22">
        <f t="shared" si="5"/>
        <v>8.0645161290322509E-2</v>
      </c>
      <c r="N7" s="13">
        <f t="shared" si="0"/>
        <v>463</v>
      </c>
      <c r="O7" s="13">
        <f t="shared" si="1"/>
        <v>413</v>
      </c>
      <c r="P7" s="13">
        <f t="shared" si="2"/>
        <v>467</v>
      </c>
      <c r="Q7" s="15">
        <f t="shared" si="6"/>
        <v>0.13075060532687655</v>
      </c>
    </row>
    <row r="8" spans="1:17" s="40" customFormat="1" ht="12" customHeight="1" x14ac:dyDescent="0.2">
      <c r="A8" s="25" t="s">
        <v>7</v>
      </c>
      <c r="B8" s="26">
        <v>1</v>
      </c>
      <c r="C8" s="26">
        <v>3</v>
      </c>
      <c r="D8" s="26">
        <v>2</v>
      </c>
      <c r="E8" s="22">
        <f t="shared" si="3"/>
        <v>-0.33333333333333337</v>
      </c>
      <c r="F8" s="26">
        <v>11</v>
      </c>
      <c r="G8" s="26">
        <v>9</v>
      </c>
      <c r="H8" s="26">
        <v>6</v>
      </c>
      <c r="I8" s="15">
        <f t="shared" si="4"/>
        <v>-0.33333333333333337</v>
      </c>
      <c r="J8" s="26">
        <v>51</v>
      </c>
      <c r="K8" s="26">
        <v>32</v>
      </c>
      <c r="L8" s="26">
        <v>38</v>
      </c>
      <c r="M8" s="22">
        <f t="shared" si="5"/>
        <v>0.1875</v>
      </c>
      <c r="N8" s="13">
        <f t="shared" si="0"/>
        <v>63</v>
      </c>
      <c r="O8" s="13">
        <f t="shared" si="1"/>
        <v>44</v>
      </c>
      <c r="P8" s="13">
        <f t="shared" si="2"/>
        <v>46</v>
      </c>
      <c r="Q8" s="15">
        <f t="shared" si="6"/>
        <v>4.5454545454545414E-2</v>
      </c>
    </row>
    <row r="9" spans="1:17" s="40" customFormat="1" ht="12" customHeight="1" x14ac:dyDescent="0.2">
      <c r="A9" s="25" t="s">
        <v>75</v>
      </c>
      <c r="B9" s="26">
        <v>1</v>
      </c>
      <c r="C9" s="26">
        <v>2</v>
      </c>
      <c r="D9" s="26">
        <v>2</v>
      </c>
      <c r="E9" s="22">
        <f t="shared" si="3"/>
        <v>0</v>
      </c>
      <c r="F9" s="26">
        <v>10</v>
      </c>
      <c r="G9" s="26">
        <v>11</v>
      </c>
      <c r="H9" s="26">
        <v>10</v>
      </c>
      <c r="I9" s="15">
        <f t="shared" si="4"/>
        <v>-9.0909090909090939E-2</v>
      </c>
      <c r="J9" s="26">
        <v>59</v>
      </c>
      <c r="K9" s="26">
        <v>41</v>
      </c>
      <c r="L9" s="26">
        <v>53</v>
      </c>
      <c r="M9" s="22">
        <f t="shared" si="5"/>
        <v>0.29268292682926833</v>
      </c>
      <c r="N9" s="13">
        <f t="shared" si="0"/>
        <v>70</v>
      </c>
      <c r="O9" s="13">
        <f t="shared" si="1"/>
        <v>54</v>
      </c>
      <c r="P9" s="13">
        <f t="shared" si="2"/>
        <v>65</v>
      </c>
      <c r="Q9" s="15">
        <f t="shared" si="6"/>
        <v>0.20370370370370372</v>
      </c>
    </row>
    <row r="10" spans="1:17" s="40" customFormat="1" ht="12" customHeight="1" x14ac:dyDescent="0.2">
      <c r="A10" s="25" t="s">
        <v>8</v>
      </c>
      <c r="B10" s="26">
        <v>7</v>
      </c>
      <c r="C10" s="26">
        <v>5</v>
      </c>
      <c r="D10" s="26">
        <v>3</v>
      </c>
      <c r="E10" s="22">
        <f t="shared" si="3"/>
        <v>-0.4</v>
      </c>
      <c r="F10" s="26">
        <v>16</v>
      </c>
      <c r="G10" s="26">
        <v>7</v>
      </c>
      <c r="H10" s="26">
        <v>16</v>
      </c>
      <c r="I10" s="15">
        <f t="shared" si="4"/>
        <v>1.2857142857142856</v>
      </c>
      <c r="J10" s="26">
        <v>164</v>
      </c>
      <c r="K10" s="26">
        <v>145</v>
      </c>
      <c r="L10" s="26">
        <v>166</v>
      </c>
      <c r="M10" s="22">
        <f t="shared" si="5"/>
        <v>0.14482758620689662</v>
      </c>
      <c r="N10" s="13">
        <f t="shared" si="0"/>
        <v>187</v>
      </c>
      <c r="O10" s="13">
        <f t="shared" si="1"/>
        <v>157</v>
      </c>
      <c r="P10" s="13">
        <f t="shared" si="2"/>
        <v>185</v>
      </c>
      <c r="Q10" s="15">
        <f t="shared" si="6"/>
        <v>0.17834394904458595</v>
      </c>
    </row>
    <row r="11" spans="1:17" s="40" customFormat="1" ht="12" customHeight="1" x14ac:dyDescent="0.2">
      <c r="A11" s="25" t="s">
        <v>9</v>
      </c>
      <c r="B11" s="26">
        <v>3</v>
      </c>
      <c r="C11" s="26">
        <v>1</v>
      </c>
      <c r="D11" s="26">
        <v>3</v>
      </c>
      <c r="E11" s="22">
        <f t="shared" si="3"/>
        <v>2</v>
      </c>
      <c r="F11" s="26">
        <v>8</v>
      </c>
      <c r="G11" s="26">
        <v>4</v>
      </c>
      <c r="H11" s="26">
        <v>3</v>
      </c>
      <c r="I11" s="15">
        <f t="shared" si="4"/>
        <v>-0.25</v>
      </c>
      <c r="J11" s="26">
        <v>38</v>
      </c>
      <c r="K11" s="26">
        <v>24</v>
      </c>
      <c r="L11" s="26">
        <v>42</v>
      </c>
      <c r="M11" s="22">
        <f t="shared" si="5"/>
        <v>0.75</v>
      </c>
      <c r="N11" s="13">
        <f t="shared" si="0"/>
        <v>49</v>
      </c>
      <c r="O11" s="13">
        <f t="shared" si="1"/>
        <v>29</v>
      </c>
      <c r="P11" s="13">
        <f t="shared" si="2"/>
        <v>48</v>
      </c>
      <c r="Q11" s="15">
        <f t="shared" si="6"/>
        <v>0.65517241379310343</v>
      </c>
    </row>
    <row r="12" spans="1:17" s="40" customFormat="1" ht="12" customHeight="1" x14ac:dyDescent="0.2">
      <c r="A12" s="25" t="s">
        <v>3</v>
      </c>
      <c r="B12" s="26">
        <v>11</v>
      </c>
      <c r="C12" s="26">
        <v>4</v>
      </c>
      <c r="D12" s="26">
        <v>6</v>
      </c>
      <c r="E12" s="22">
        <f t="shared" si="3"/>
        <v>0.5</v>
      </c>
      <c r="F12" s="26">
        <v>27</v>
      </c>
      <c r="G12" s="26">
        <v>15</v>
      </c>
      <c r="H12" s="26">
        <v>33</v>
      </c>
      <c r="I12" s="15">
        <f t="shared" si="4"/>
        <v>1.2000000000000002</v>
      </c>
      <c r="J12" s="26">
        <v>242</v>
      </c>
      <c r="K12" s="26">
        <v>202</v>
      </c>
      <c r="L12" s="26">
        <v>246</v>
      </c>
      <c r="M12" s="22">
        <f t="shared" si="5"/>
        <v>0.21782178217821779</v>
      </c>
      <c r="N12" s="13">
        <f t="shared" si="0"/>
        <v>280</v>
      </c>
      <c r="O12" s="13">
        <f t="shared" si="1"/>
        <v>221</v>
      </c>
      <c r="P12" s="13">
        <f t="shared" si="2"/>
        <v>285</v>
      </c>
      <c r="Q12" s="15">
        <f t="shared" si="6"/>
        <v>0.28959276018099556</v>
      </c>
    </row>
    <row r="13" spans="1:17" s="40" customFormat="1" ht="12" customHeight="1" x14ac:dyDescent="0.2">
      <c r="A13" s="25" t="s">
        <v>10</v>
      </c>
      <c r="B13" s="26">
        <v>1</v>
      </c>
      <c r="C13" s="26">
        <v>3</v>
      </c>
      <c r="D13" s="26">
        <v>0</v>
      </c>
      <c r="E13" s="22">
        <f t="shared" si="3"/>
        <v>-1</v>
      </c>
      <c r="F13" s="26">
        <v>6</v>
      </c>
      <c r="G13" s="26">
        <v>4</v>
      </c>
      <c r="H13" s="26">
        <v>3</v>
      </c>
      <c r="I13" s="15">
        <f t="shared" si="4"/>
        <v>-0.25</v>
      </c>
      <c r="J13" s="26">
        <v>43</v>
      </c>
      <c r="K13" s="26">
        <v>24</v>
      </c>
      <c r="L13" s="26">
        <v>43</v>
      </c>
      <c r="M13" s="22">
        <f t="shared" si="5"/>
        <v>0.79166666666666674</v>
      </c>
      <c r="N13" s="13">
        <f t="shared" si="0"/>
        <v>50</v>
      </c>
      <c r="O13" s="13">
        <f t="shared" si="1"/>
        <v>31</v>
      </c>
      <c r="P13" s="13">
        <f t="shared" si="2"/>
        <v>46</v>
      </c>
      <c r="Q13" s="15">
        <f t="shared" si="6"/>
        <v>0.4838709677419355</v>
      </c>
    </row>
    <row r="14" spans="1:17" s="40" customFormat="1" ht="12" customHeight="1" x14ac:dyDescent="0.2">
      <c r="A14" s="25" t="s">
        <v>11</v>
      </c>
      <c r="B14" s="26">
        <v>11</v>
      </c>
      <c r="C14" s="26">
        <v>4</v>
      </c>
      <c r="D14" s="26">
        <v>8</v>
      </c>
      <c r="E14" s="22">
        <f t="shared" ref="E14:E24" si="7">D14/C14-1</f>
        <v>1</v>
      </c>
      <c r="F14" s="26">
        <v>18</v>
      </c>
      <c r="G14" s="26">
        <v>20</v>
      </c>
      <c r="H14" s="26">
        <v>17</v>
      </c>
      <c r="I14" s="15">
        <f t="shared" si="4"/>
        <v>-0.15000000000000002</v>
      </c>
      <c r="J14" s="26">
        <v>184</v>
      </c>
      <c r="K14" s="26">
        <v>160</v>
      </c>
      <c r="L14" s="26">
        <v>156</v>
      </c>
      <c r="M14" s="22">
        <f t="shared" si="5"/>
        <v>-2.5000000000000022E-2</v>
      </c>
      <c r="N14" s="13">
        <f t="shared" si="0"/>
        <v>213</v>
      </c>
      <c r="O14" s="13">
        <f t="shared" si="1"/>
        <v>184</v>
      </c>
      <c r="P14" s="13">
        <f t="shared" si="2"/>
        <v>181</v>
      </c>
      <c r="Q14" s="15">
        <f t="shared" si="6"/>
        <v>-1.6304347826086918E-2</v>
      </c>
    </row>
    <row r="15" spans="1:17" s="40" customFormat="1" ht="12" customHeight="1" x14ac:dyDescent="0.2">
      <c r="A15" s="25" t="s">
        <v>1</v>
      </c>
      <c r="B15" s="26">
        <v>25</v>
      </c>
      <c r="C15" s="26">
        <v>13</v>
      </c>
      <c r="D15" s="26">
        <v>13</v>
      </c>
      <c r="E15" s="22">
        <f t="shared" si="7"/>
        <v>0</v>
      </c>
      <c r="F15" s="26">
        <v>103</v>
      </c>
      <c r="G15" s="26">
        <v>68</v>
      </c>
      <c r="H15" s="26">
        <v>90</v>
      </c>
      <c r="I15" s="15">
        <f t="shared" si="4"/>
        <v>0.32352941176470584</v>
      </c>
      <c r="J15" s="13">
        <v>1615</v>
      </c>
      <c r="K15" s="13">
        <v>1327</v>
      </c>
      <c r="L15" s="13">
        <v>1364</v>
      </c>
      <c r="M15" s="22">
        <f t="shared" si="5"/>
        <v>2.7882441597588459E-2</v>
      </c>
      <c r="N15" s="13">
        <f t="shared" si="0"/>
        <v>1743</v>
      </c>
      <c r="O15" s="13">
        <f t="shared" si="1"/>
        <v>1408</v>
      </c>
      <c r="P15" s="13">
        <f t="shared" si="2"/>
        <v>1467</v>
      </c>
      <c r="Q15" s="15">
        <f t="shared" si="6"/>
        <v>4.1903409090909172E-2</v>
      </c>
    </row>
    <row r="16" spans="1:17" s="40" customFormat="1" ht="12" customHeight="1" x14ac:dyDescent="0.2">
      <c r="A16" s="25" t="s">
        <v>12</v>
      </c>
      <c r="B16" s="26">
        <v>1</v>
      </c>
      <c r="C16" s="26">
        <v>2</v>
      </c>
      <c r="D16" s="26">
        <v>0</v>
      </c>
      <c r="E16" s="22">
        <f t="shared" si="7"/>
        <v>-1</v>
      </c>
      <c r="F16" s="26">
        <v>5</v>
      </c>
      <c r="G16" s="26">
        <v>4</v>
      </c>
      <c r="H16" s="26">
        <v>4</v>
      </c>
      <c r="I16" s="15">
        <f t="shared" si="4"/>
        <v>0</v>
      </c>
      <c r="J16" s="26">
        <v>27</v>
      </c>
      <c r="K16" s="26">
        <v>32</v>
      </c>
      <c r="L16" s="26">
        <v>27</v>
      </c>
      <c r="M16" s="22">
        <f t="shared" si="5"/>
        <v>-0.15625</v>
      </c>
      <c r="N16" s="13">
        <f t="shared" si="0"/>
        <v>33</v>
      </c>
      <c r="O16" s="13">
        <f t="shared" si="1"/>
        <v>38</v>
      </c>
      <c r="P16" s="13">
        <f t="shared" si="2"/>
        <v>31</v>
      </c>
      <c r="Q16" s="15">
        <f t="shared" si="6"/>
        <v>-0.18421052631578949</v>
      </c>
    </row>
    <row r="17" spans="1:17" s="40" customFormat="1" ht="12" customHeight="1" x14ac:dyDescent="0.2">
      <c r="A17" s="25" t="s">
        <v>2</v>
      </c>
      <c r="B17" s="26">
        <v>26</v>
      </c>
      <c r="C17" s="26">
        <v>16</v>
      </c>
      <c r="D17" s="26">
        <v>20</v>
      </c>
      <c r="E17" s="22">
        <f t="shared" si="7"/>
        <v>0.25</v>
      </c>
      <c r="F17" s="26">
        <v>43</v>
      </c>
      <c r="G17" s="26">
        <v>47</v>
      </c>
      <c r="H17" s="26">
        <v>37</v>
      </c>
      <c r="I17" s="15">
        <f t="shared" si="4"/>
        <v>-0.21276595744680848</v>
      </c>
      <c r="J17" s="13">
        <v>1093</v>
      </c>
      <c r="K17" s="26">
        <v>1028</v>
      </c>
      <c r="L17" s="13">
        <v>1033</v>
      </c>
      <c r="M17" s="22">
        <f t="shared" si="5"/>
        <v>4.8638132295719672E-3</v>
      </c>
      <c r="N17" s="13">
        <f t="shared" si="0"/>
        <v>1162</v>
      </c>
      <c r="O17" s="13">
        <f t="shared" si="1"/>
        <v>1091</v>
      </c>
      <c r="P17" s="13">
        <f t="shared" si="2"/>
        <v>1090</v>
      </c>
      <c r="Q17" s="15">
        <f t="shared" si="6"/>
        <v>-9.1659028414303734E-4</v>
      </c>
    </row>
    <row r="18" spans="1:17" s="40" customFormat="1" ht="12" customHeight="1" x14ac:dyDescent="0.2">
      <c r="A18" s="25" t="s">
        <v>13</v>
      </c>
      <c r="B18" s="26">
        <v>5</v>
      </c>
      <c r="C18" s="26">
        <v>6</v>
      </c>
      <c r="D18" s="26">
        <v>2</v>
      </c>
      <c r="E18" s="22">
        <f t="shared" si="7"/>
        <v>-0.66666666666666674</v>
      </c>
      <c r="F18" s="26">
        <v>24</v>
      </c>
      <c r="G18" s="26">
        <v>18</v>
      </c>
      <c r="H18" s="26">
        <v>23</v>
      </c>
      <c r="I18" s="15">
        <f t="shared" si="4"/>
        <v>0.27777777777777768</v>
      </c>
      <c r="J18" s="26">
        <v>152</v>
      </c>
      <c r="K18" s="26">
        <v>102</v>
      </c>
      <c r="L18" s="26">
        <v>133</v>
      </c>
      <c r="M18" s="22">
        <f t="shared" si="5"/>
        <v>0.30392156862745101</v>
      </c>
      <c r="N18" s="13">
        <f t="shared" si="0"/>
        <v>181</v>
      </c>
      <c r="O18" s="13">
        <f t="shared" si="1"/>
        <v>126</v>
      </c>
      <c r="P18" s="13">
        <f t="shared" si="2"/>
        <v>158</v>
      </c>
      <c r="Q18" s="15">
        <f t="shared" si="6"/>
        <v>0.25396825396825395</v>
      </c>
    </row>
    <row r="19" spans="1:17" s="40" customFormat="1" ht="12" customHeight="1" x14ac:dyDescent="0.2">
      <c r="A19" s="25" t="s">
        <v>14</v>
      </c>
      <c r="B19" s="26">
        <v>7</v>
      </c>
      <c r="C19" s="26">
        <v>10</v>
      </c>
      <c r="D19" s="26">
        <v>13</v>
      </c>
      <c r="E19" s="22">
        <f t="shared" si="7"/>
        <v>0.30000000000000004</v>
      </c>
      <c r="F19" s="26">
        <v>29</v>
      </c>
      <c r="G19" s="26">
        <v>32</v>
      </c>
      <c r="H19" s="26">
        <v>35</v>
      </c>
      <c r="I19" s="15">
        <f t="shared" si="4"/>
        <v>9.375E-2</v>
      </c>
      <c r="J19" s="26">
        <v>455</v>
      </c>
      <c r="K19" s="26">
        <v>397</v>
      </c>
      <c r="L19" s="26">
        <v>417</v>
      </c>
      <c r="M19" s="22">
        <f t="shared" si="5"/>
        <v>5.0377833753148638E-2</v>
      </c>
      <c r="N19" s="13">
        <f t="shared" si="0"/>
        <v>491</v>
      </c>
      <c r="O19" s="13">
        <f t="shared" si="1"/>
        <v>439</v>
      </c>
      <c r="P19" s="13">
        <f t="shared" si="2"/>
        <v>465</v>
      </c>
      <c r="Q19" s="15">
        <f t="shared" si="6"/>
        <v>5.9225512528473745E-2</v>
      </c>
    </row>
    <row r="20" spans="1:17" s="40" customFormat="1" ht="12" customHeight="1" x14ac:dyDescent="0.2">
      <c r="A20" s="25" t="s">
        <v>76</v>
      </c>
      <c r="B20" s="26">
        <v>8</v>
      </c>
      <c r="C20" s="26">
        <v>4</v>
      </c>
      <c r="D20" s="26">
        <v>2</v>
      </c>
      <c r="E20" s="22">
        <f t="shared" si="7"/>
        <v>-0.5</v>
      </c>
      <c r="F20" s="26">
        <v>9</v>
      </c>
      <c r="G20" s="26">
        <v>9</v>
      </c>
      <c r="H20" s="26">
        <v>9</v>
      </c>
      <c r="I20" s="15">
        <f t="shared" si="4"/>
        <v>0</v>
      </c>
      <c r="J20" s="26">
        <v>94</v>
      </c>
      <c r="K20" s="26">
        <v>84</v>
      </c>
      <c r="L20" s="26">
        <v>83</v>
      </c>
      <c r="M20" s="22">
        <f t="shared" si="5"/>
        <v>-1.1904761904761862E-2</v>
      </c>
      <c r="N20" s="13">
        <f t="shared" si="0"/>
        <v>111</v>
      </c>
      <c r="O20" s="13">
        <f t="shared" si="1"/>
        <v>97</v>
      </c>
      <c r="P20" s="13">
        <f t="shared" si="2"/>
        <v>94</v>
      </c>
      <c r="Q20" s="15">
        <f t="shared" si="6"/>
        <v>-3.0927835051546393E-2</v>
      </c>
    </row>
    <row r="21" spans="1:17" s="40" customFormat="1" ht="12" customHeight="1" x14ac:dyDescent="0.2">
      <c r="A21" s="25" t="s">
        <v>15</v>
      </c>
      <c r="B21" s="26">
        <v>5</v>
      </c>
      <c r="C21" s="26">
        <v>3</v>
      </c>
      <c r="D21" s="26">
        <v>3</v>
      </c>
      <c r="E21" s="22">
        <f t="shared" si="7"/>
        <v>0</v>
      </c>
      <c r="F21" s="26">
        <v>13</v>
      </c>
      <c r="G21" s="26">
        <v>5</v>
      </c>
      <c r="H21" s="26">
        <v>9</v>
      </c>
      <c r="I21" s="15">
        <f t="shared" si="4"/>
        <v>0.8</v>
      </c>
      <c r="J21" s="26">
        <v>80</v>
      </c>
      <c r="K21" s="26">
        <v>65</v>
      </c>
      <c r="L21" s="26">
        <v>72</v>
      </c>
      <c r="M21" s="22">
        <f t="shared" si="5"/>
        <v>0.10769230769230775</v>
      </c>
      <c r="N21" s="13">
        <f t="shared" si="0"/>
        <v>98</v>
      </c>
      <c r="O21" s="13">
        <f t="shared" si="1"/>
        <v>73</v>
      </c>
      <c r="P21" s="13">
        <f t="shared" si="2"/>
        <v>84</v>
      </c>
      <c r="Q21" s="15">
        <f t="shared" si="6"/>
        <v>0.15068493150684925</v>
      </c>
    </row>
    <row r="22" spans="1:17" s="40" customFormat="1" ht="12" customHeight="1" x14ac:dyDescent="0.2">
      <c r="A22" s="25" t="s">
        <v>16</v>
      </c>
      <c r="B22" s="26">
        <v>4</v>
      </c>
      <c r="C22" s="26">
        <v>3</v>
      </c>
      <c r="D22" s="26">
        <v>6</v>
      </c>
      <c r="E22" s="22">
        <f t="shared" si="7"/>
        <v>1</v>
      </c>
      <c r="F22" s="26">
        <v>16</v>
      </c>
      <c r="G22" s="26">
        <v>12</v>
      </c>
      <c r="H22" s="26">
        <v>12</v>
      </c>
      <c r="I22" s="15">
        <f t="shared" si="4"/>
        <v>0</v>
      </c>
      <c r="J22" s="26">
        <v>148</v>
      </c>
      <c r="K22" s="26">
        <v>111</v>
      </c>
      <c r="L22" s="26">
        <v>108</v>
      </c>
      <c r="M22" s="22">
        <f t="shared" si="5"/>
        <v>-2.7027027027026973E-2</v>
      </c>
      <c r="N22" s="13">
        <f t="shared" si="0"/>
        <v>168</v>
      </c>
      <c r="O22" s="13">
        <f t="shared" si="1"/>
        <v>126</v>
      </c>
      <c r="P22" s="13">
        <f t="shared" si="2"/>
        <v>126</v>
      </c>
      <c r="Q22" s="15">
        <f t="shared" si="6"/>
        <v>0</v>
      </c>
    </row>
    <row r="23" spans="1:17" s="40" customFormat="1" ht="12" customHeight="1" x14ac:dyDescent="0.2">
      <c r="A23" s="25" t="s">
        <v>344</v>
      </c>
      <c r="B23" s="26">
        <v>5</v>
      </c>
      <c r="C23" s="26">
        <v>4</v>
      </c>
      <c r="D23" s="26">
        <v>2</v>
      </c>
      <c r="E23" s="22">
        <f t="shared" si="7"/>
        <v>-0.5</v>
      </c>
      <c r="F23" s="26">
        <v>24</v>
      </c>
      <c r="G23" s="26">
        <v>15</v>
      </c>
      <c r="H23" s="26">
        <v>14</v>
      </c>
      <c r="I23" s="15">
        <f t="shared" si="4"/>
        <v>-6.6666666666666652E-2</v>
      </c>
      <c r="J23" s="26">
        <v>77</v>
      </c>
      <c r="K23" s="26">
        <v>58</v>
      </c>
      <c r="L23" s="26">
        <v>71</v>
      </c>
      <c r="M23" s="22">
        <f t="shared" si="5"/>
        <v>0.22413793103448265</v>
      </c>
      <c r="N23" s="13">
        <f t="shared" si="0"/>
        <v>106</v>
      </c>
      <c r="O23" s="13">
        <f t="shared" si="1"/>
        <v>77</v>
      </c>
      <c r="P23" s="13">
        <f t="shared" si="2"/>
        <v>87</v>
      </c>
      <c r="Q23" s="15">
        <f t="shared" si="6"/>
        <v>0.12987012987012991</v>
      </c>
    </row>
    <row r="24" spans="1:17" s="40" customFormat="1" ht="12" customHeight="1" x14ac:dyDescent="0.2">
      <c r="A24" s="25" t="s">
        <v>345</v>
      </c>
      <c r="B24" s="26">
        <v>1</v>
      </c>
      <c r="C24" s="26">
        <v>3</v>
      </c>
      <c r="D24" s="26">
        <v>2</v>
      </c>
      <c r="E24" s="22">
        <f t="shared" si="7"/>
        <v>-0.33333333333333337</v>
      </c>
      <c r="F24" s="26">
        <v>17</v>
      </c>
      <c r="G24" s="26">
        <v>14</v>
      </c>
      <c r="H24" s="26">
        <v>15</v>
      </c>
      <c r="I24" s="15">
        <f t="shared" si="4"/>
        <v>7.1428571428571397E-2</v>
      </c>
      <c r="J24" s="26">
        <v>134</v>
      </c>
      <c r="K24" s="26">
        <v>140</v>
      </c>
      <c r="L24" s="26">
        <v>128</v>
      </c>
      <c r="M24" s="22">
        <f t="shared" si="5"/>
        <v>-8.5714285714285743E-2</v>
      </c>
      <c r="N24" s="13">
        <f t="shared" si="0"/>
        <v>152</v>
      </c>
      <c r="O24" s="13">
        <f t="shared" si="1"/>
        <v>157</v>
      </c>
      <c r="P24" s="13">
        <f t="shared" si="2"/>
        <v>145</v>
      </c>
      <c r="Q24" s="15">
        <f t="shared" si="6"/>
        <v>-7.6433121019108263E-2</v>
      </c>
    </row>
    <row r="25" spans="1:17" s="40" customFormat="1" ht="12" customHeight="1" thickBot="1" x14ac:dyDescent="0.25">
      <c r="A25" s="27" t="s">
        <v>0</v>
      </c>
      <c r="B25" s="23">
        <f>SUM(B5:B24)</f>
        <v>140</v>
      </c>
      <c r="C25" s="16">
        <f t="shared" ref="C25:D25" si="8">SUM(C5:C24)</f>
        <v>109</v>
      </c>
      <c r="D25" s="16">
        <f t="shared" si="8"/>
        <v>111</v>
      </c>
      <c r="E25" s="24">
        <f>D25/C25-1</f>
        <v>1.8348623853210899E-2</v>
      </c>
      <c r="F25" s="16">
        <f t="shared" ref="F25:H25" si="9">SUM(F5:F24)</f>
        <v>450</v>
      </c>
      <c r="G25" s="16">
        <f t="shared" si="9"/>
        <v>350</v>
      </c>
      <c r="H25" s="16">
        <f t="shared" si="9"/>
        <v>426</v>
      </c>
      <c r="I25" s="17">
        <f>H25/G25-1</f>
        <v>0.21714285714285708</v>
      </c>
      <c r="J25" s="23">
        <f t="shared" ref="J25:L25" si="10">SUM(J5:J24)</f>
        <v>5391</v>
      </c>
      <c r="K25" s="16">
        <f t="shared" si="10"/>
        <v>4648</v>
      </c>
      <c r="L25" s="16">
        <f t="shared" si="10"/>
        <v>4847</v>
      </c>
      <c r="M25" s="24">
        <f>L25/K25-1</f>
        <v>4.2814113597246184E-2</v>
      </c>
      <c r="N25" s="16">
        <f>SUM(N5:N24)</f>
        <v>5981</v>
      </c>
      <c r="O25" s="16">
        <f t="shared" ref="O25:P25" si="11">SUM(O5:O24)</f>
        <v>5107</v>
      </c>
      <c r="P25" s="16">
        <f t="shared" si="11"/>
        <v>5384</v>
      </c>
      <c r="Q25" s="17">
        <f>P25/O25-1</f>
        <v>5.4239279420403408E-2</v>
      </c>
    </row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25:H25 O25:Q25" formulaRange="1"/>
    <ignoredError sqref="I25:N25" formula="1" formulaRange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DCC8-C1F8-415C-8674-34F9592E2E51}">
  <sheetPr codeName="Planilha31"/>
  <dimension ref="A1:Q33"/>
  <sheetViews>
    <sheetView showGridLines="0" zoomScale="120" zoomScaleNormal="120" workbookViewId="0">
      <selection activeCell="C1" sqref="C1"/>
    </sheetView>
  </sheetViews>
  <sheetFormatPr defaultColWidth="9.109375" defaultRowHeight="14.4" x14ac:dyDescent="0.3"/>
  <cols>
    <col min="1" max="1" width="56.10937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331</v>
      </c>
      <c r="B1" s="36"/>
      <c r="C1" s="36"/>
      <c r="D1" s="36"/>
      <c r="E1" s="36"/>
      <c r="F1" s="36"/>
    </row>
    <row r="2" spans="1:17" s="40" customFormat="1" ht="25.2" customHeight="1" thickBot="1" x14ac:dyDescent="0.25"/>
    <row r="3" spans="1:17" s="40" customFormat="1" ht="13.95" customHeight="1" x14ac:dyDescent="0.2">
      <c r="A3" s="213" t="s">
        <v>293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8" customHeight="1" x14ac:dyDescent="0.2">
      <c r="A5" s="25" t="s">
        <v>145</v>
      </c>
      <c r="B5" s="26">
        <v>48</v>
      </c>
      <c r="C5" s="26">
        <v>35</v>
      </c>
      <c r="D5" s="26">
        <v>31</v>
      </c>
      <c r="E5" s="22">
        <f>D5/C5-1</f>
        <v>-0.11428571428571432</v>
      </c>
      <c r="F5" s="26">
        <v>78</v>
      </c>
      <c r="G5" s="26">
        <v>46</v>
      </c>
      <c r="H5" s="26">
        <v>67</v>
      </c>
      <c r="I5" s="15">
        <f>H5/G5-1</f>
        <v>0.45652173913043481</v>
      </c>
      <c r="J5" s="26">
        <v>585</v>
      </c>
      <c r="K5" s="26">
        <v>531</v>
      </c>
      <c r="L5" s="26">
        <v>577</v>
      </c>
      <c r="M5" s="22">
        <f>L5/K5-1</f>
        <v>8.6629001883239187E-2</v>
      </c>
      <c r="N5" s="13">
        <f t="shared" ref="N5:N17" si="0">B5+F5+J5</f>
        <v>711</v>
      </c>
      <c r="O5" s="13">
        <f t="shared" ref="O5:O17" si="1">C5+G5+K5</f>
        <v>612</v>
      </c>
      <c r="P5" s="68">
        <f t="shared" ref="P5:P17" si="2">D5+H5+L5</f>
        <v>675</v>
      </c>
      <c r="Q5" s="81">
        <f>P5/O5-1</f>
        <v>0.10294117647058831</v>
      </c>
    </row>
    <row r="6" spans="1:17" s="40" customFormat="1" ht="18" customHeight="1" x14ac:dyDescent="0.2">
      <c r="A6" s="25" t="s">
        <v>146</v>
      </c>
      <c r="B6" s="26">
        <v>21</v>
      </c>
      <c r="C6" s="26">
        <v>20</v>
      </c>
      <c r="D6" s="26">
        <v>18</v>
      </c>
      <c r="E6" s="22">
        <f t="shared" ref="E6:E14" si="3">D6/C6-1</f>
        <v>-9.9999999999999978E-2</v>
      </c>
      <c r="F6" s="26">
        <v>145</v>
      </c>
      <c r="G6" s="26">
        <v>126</v>
      </c>
      <c r="H6" s="26">
        <v>153</v>
      </c>
      <c r="I6" s="15">
        <f t="shared" ref="I6:I17" si="4">H6/G6-1</f>
        <v>0.21428571428571419</v>
      </c>
      <c r="J6" s="13">
        <v>2481</v>
      </c>
      <c r="K6" s="13">
        <v>2159</v>
      </c>
      <c r="L6" s="13">
        <v>2327</v>
      </c>
      <c r="M6" s="22">
        <f t="shared" ref="M6:M17" si="5">L6/K6-1</f>
        <v>7.7813802686429012E-2</v>
      </c>
      <c r="N6" s="13">
        <f t="shared" si="0"/>
        <v>2647</v>
      </c>
      <c r="O6" s="13">
        <f t="shared" si="1"/>
        <v>2305</v>
      </c>
      <c r="P6" s="13">
        <f t="shared" si="2"/>
        <v>2498</v>
      </c>
      <c r="Q6" s="15">
        <f t="shared" ref="Q6:Q17" si="6">P6/O6-1</f>
        <v>8.3731019522776506E-2</v>
      </c>
    </row>
    <row r="7" spans="1:17" s="40" customFormat="1" ht="18" customHeight="1" x14ac:dyDescent="0.2">
      <c r="A7" s="25" t="s">
        <v>147</v>
      </c>
      <c r="B7" s="26">
        <v>22</v>
      </c>
      <c r="C7" s="26">
        <v>14</v>
      </c>
      <c r="D7" s="26">
        <v>17</v>
      </c>
      <c r="E7" s="22">
        <f t="shared" si="3"/>
        <v>0.21428571428571419</v>
      </c>
      <c r="F7" s="26">
        <v>40</v>
      </c>
      <c r="G7" s="26">
        <v>35</v>
      </c>
      <c r="H7" s="26">
        <v>50</v>
      </c>
      <c r="I7" s="15">
        <f t="shared" si="4"/>
        <v>0.4285714285714286</v>
      </c>
      <c r="J7" s="26">
        <v>487</v>
      </c>
      <c r="K7" s="26">
        <v>443</v>
      </c>
      <c r="L7" s="26">
        <v>456</v>
      </c>
      <c r="M7" s="22">
        <f t="shared" si="5"/>
        <v>2.9345372460496622E-2</v>
      </c>
      <c r="N7" s="13">
        <f t="shared" si="0"/>
        <v>549</v>
      </c>
      <c r="O7" s="13">
        <f t="shared" si="1"/>
        <v>492</v>
      </c>
      <c r="P7" s="13">
        <f t="shared" si="2"/>
        <v>523</v>
      </c>
      <c r="Q7" s="15">
        <f t="shared" si="6"/>
        <v>6.3008130081300795E-2</v>
      </c>
    </row>
    <row r="8" spans="1:17" s="40" customFormat="1" ht="18" customHeight="1" x14ac:dyDescent="0.2">
      <c r="A8" s="25" t="s">
        <v>148</v>
      </c>
      <c r="B8" s="26">
        <v>19</v>
      </c>
      <c r="C8" s="26">
        <v>15</v>
      </c>
      <c r="D8" s="26">
        <v>9</v>
      </c>
      <c r="E8" s="22">
        <f t="shared" si="3"/>
        <v>-0.4</v>
      </c>
      <c r="F8" s="26">
        <v>55</v>
      </c>
      <c r="G8" s="26">
        <v>32</v>
      </c>
      <c r="H8" s="26">
        <v>37</v>
      </c>
      <c r="I8" s="15">
        <f t="shared" si="4"/>
        <v>0.15625</v>
      </c>
      <c r="J8" s="26">
        <v>401</v>
      </c>
      <c r="K8" s="26">
        <v>300</v>
      </c>
      <c r="L8" s="26">
        <v>306</v>
      </c>
      <c r="M8" s="22">
        <f t="shared" si="5"/>
        <v>2.0000000000000018E-2</v>
      </c>
      <c r="N8" s="13">
        <f t="shared" si="0"/>
        <v>475</v>
      </c>
      <c r="O8" s="13">
        <f t="shared" si="1"/>
        <v>347</v>
      </c>
      <c r="P8" s="13">
        <f t="shared" si="2"/>
        <v>352</v>
      </c>
      <c r="Q8" s="15">
        <f t="shared" si="6"/>
        <v>1.4409221902017322E-2</v>
      </c>
    </row>
    <row r="9" spans="1:17" s="40" customFormat="1" ht="18" customHeight="1" x14ac:dyDescent="0.2">
      <c r="A9" s="25" t="s">
        <v>149</v>
      </c>
      <c r="B9" s="26">
        <v>8</v>
      </c>
      <c r="C9" s="26">
        <v>9</v>
      </c>
      <c r="D9" s="26">
        <v>14</v>
      </c>
      <c r="E9" s="22">
        <f t="shared" si="3"/>
        <v>0.55555555555555558</v>
      </c>
      <c r="F9" s="26">
        <v>44</v>
      </c>
      <c r="G9" s="26">
        <v>40</v>
      </c>
      <c r="H9" s="26">
        <v>52</v>
      </c>
      <c r="I9" s="15">
        <f t="shared" si="4"/>
        <v>0.30000000000000004</v>
      </c>
      <c r="J9" s="26">
        <v>541</v>
      </c>
      <c r="K9" s="26">
        <v>444</v>
      </c>
      <c r="L9" s="26">
        <v>471</v>
      </c>
      <c r="M9" s="22">
        <f t="shared" si="5"/>
        <v>6.0810810810810745E-2</v>
      </c>
      <c r="N9" s="13">
        <f t="shared" si="0"/>
        <v>593</v>
      </c>
      <c r="O9" s="13">
        <f t="shared" si="1"/>
        <v>493</v>
      </c>
      <c r="P9" s="13">
        <f t="shared" si="2"/>
        <v>537</v>
      </c>
      <c r="Q9" s="15">
        <f t="shared" si="6"/>
        <v>8.9249492900608463E-2</v>
      </c>
    </row>
    <row r="10" spans="1:17" s="40" customFormat="1" ht="18" customHeight="1" x14ac:dyDescent="0.2">
      <c r="A10" s="25" t="s">
        <v>150</v>
      </c>
      <c r="B10" s="26">
        <v>3</v>
      </c>
      <c r="C10" s="26">
        <v>5</v>
      </c>
      <c r="D10" s="26">
        <v>6</v>
      </c>
      <c r="E10" s="22">
        <f t="shared" si="3"/>
        <v>0.19999999999999996</v>
      </c>
      <c r="F10" s="26">
        <v>17</v>
      </c>
      <c r="G10" s="26">
        <v>15</v>
      </c>
      <c r="H10" s="26">
        <v>14</v>
      </c>
      <c r="I10" s="15">
        <f t="shared" si="4"/>
        <v>-6.6666666666666652E-2</v>
      </c>
      <c r="J10" s="26">
        <v>153</v>
      </c>
      <c r="K10" s="26">
        <v>149</v>
      </c>
      <c r="L10" s="26">
        <v>156</v>
      </c>
      <c r="M10" s="22">
        <f t="shared" si="5"/>
        <v>4.6979865771812124E-2</v>
      </c>
      <c r="N10" s="13">
        <f t="shared" si="0"/>
        <v>173</v>
      </c>
      <c r="O10" s="13">
        <f t="shared" si="1"/>
        <v>169</v>
      </c>
      <c r="P10" s="13">
        <f t="shared" si="2"/>
        <v>176</v>
      </c>
      <c r="Q10" s="15">
        <f t="shared" si="6"/>
        <v>4.1420118343195256E-2</v>
      </c>
    </row>
    <row r="11" spans="1:17" s="40" customFormat="1" ht="18" customHeight="1" x14ac:dyDescent="0.2">
      <c r="A11" s="25" t="s">
        <v>156</v>
      </c>
      <c r="B11" s="26">
        <v>7</v>
      </c>
      <c r="C11" s="26">
        <v>4</v>
      </c>
      <c r="D11" s="26">
        <v>5</v>
      </c>
      <c r="E11" s="22">
        <f t="shared" si="3"/>
        <v>0.25</v>
      </c>
      <c r="F11" s="26">
        <v>30</v>
      </c>
      <c r="G11" s="26">
        <v>19</v>
      </c>
      <c r="H11" s="26">
        <v>20</v>
      </c>
      <c r="I11" s="15">
        <f t="shared" si="4"/>
        <v>5.2631578947368363E-2</v>
      </c>
      <c r="J11" s="26">
        <v>297</v>
      </c>
      <c r="K11" s="26">
        <v>215</v>
      </c>
      <c r="L11" s="26">
        <v>206</v>
      </c>
      <c r="M11" s="22">
        <f t="shared" si="5"/>
        <v>-4.1860465116279055E-2</v>
      </c>
      <c r="N11" s="13">
        <f t="shared" si="0"/>
        <v>334</v>
      </c>
      <c r="O11" s="13">
        <f t="shared" si="1"/>
        <v>238</v>
      </c>
      <c r="P11" s="13">
        <f t="shared" si="2"/>
        <v>231</v>
      </c>
      <c r="Q11" s="15">
        <f t="shared" si="6"/>
        <v>-2.9411764705882359E-2</v>
      </c>
    </row>
    <row r="12" spans="1:17" s="40" customFormat="1" ht="18" customHeight="1" x14ac:dyDescent="0.2">
      <c r="A12" s="25" t="s">
        <v>152</v>
      </c>
      <c r="B12" s="26">
        <v>1</v>
      </c>
      <c r="C12" s="26">
        <v>3</v>
      </c>
      <c r="D12" s="26">
        <v>2</v>
      </c>
      <c r="E12" s="22">
        <f t="shared" si="3"/>
        <v>-0.33333333333333337</v>
      </c>
      <c r="F12" s="26">
        <v>8</v>
      </c>
      <c r="G12" s="26">
        <v>6</v>
      </c>
      <c r="H12" s="26">
        <v>4</v>
      </c>
      <c r="I12" s="15">
        <f t="shared" si="4"/>
        <v>-0.33333333333333337</v>
      </c>
      <c r="J12" s="26">
        <v>68</v>
      </c>
      <c r="K12" s="26">
        <v>47</v>
      </c>
      <c r="L12" s="26">
        <v>58</v>
      </c>
      <c r="M12" s="22">
        <f t="shared" si="5"/>
        <v>0.23404255319148937</v>
      </c>
      <c r="N12" s="13">
        <f t="shared" si="0"/>
        <v>77</v>
      </c>
      <c r="O12" s="13">
        <f t="shared" si="1"/>
        <v>56</v>
      </c>
      <c r="P12" s="13">
        <f t="shared" si="2"/>
        <v>64</v>
      </c>
      <c r="Q12" s="15">
        <f t="shared" si="6"/>
        <v>0.14285714285714279</v>
      </c>
    </row>
    <row r="13" spans="1:17" s="40" customFormat="1" ht="18" customHeight="1" x14ac:dyDescent="0.2">
      <c r="A13" s="25" t="s">
        <v>154</v>
      </c>
      <c r="B13" s="26">
        <v>6</v>
      </c>
      <c r="C13" s="26">
        <v>2</v>
      </c>
      <c r="D13" s="26">
        <v>7</v>
      </c>
      <c r="E13" s="22">
        <f t="shared" si="3"/>
        <v>2.5</v>
      </c>
      <c r="F13" s="26">
        <v>14</v>
      </c>
      <c r="G13" s="26">
        <v>10</v>
      </c>
      <c r="H13" s="26">
        <v>10</v>
      </c>
      <c r="I13" s="15">
        <f t="shared" si="4"/>
        <v>0</v>
      </c>
      <c r="J13" s="26">
        <v>131</v>
      </c>
      <c r="K13" s="26">
        <v>125</v>
      </c>
      <c r="L13" s="26">
        <v>109</v>
      </c>
      <c r="M13" s="22">
        <f t="shared" si="5"/>
        <v>-0.128</v>
      </c>
      <c r="N13" s="13">
        <f t="shared" si="0"/>
        <v>151</v>
      </c>
      <c r="O13" s="13">
        <f t="shared" si="1"/>
        <v>137</v>
      </c>
      <c r="P13" s="13">
        <f t="shared" si="2"/>
        <v>126</v>
      </c>
      <c r="Q13" s="15">
        <f t="shared" si="6"/>
        <v>-8.0291970802919721E-2</v>
      </c>
    </row>
    <row r="14" spans="1:17" s="40" customFormat="1" ht="18" customHeight="1" x14ac:dyDescent="0.2">
      <c r="A14" s="25" t="s">
        <v>151</v>
      </c>
      <c r="B14" s="26">
        <v>2</v>
      </c>
      <c r="C14" s="26">
        <v>2</v>
      </c>
      <c r="D14" s="26">
        <v>0</v>
      </c>
      <c r="E14" s="22">
        <f t="shared" si="3"/>
        <v>-1</v>
      </c>
      <c r="F14" s="26">
        <v>6</v>
      </c>
      <c r="G14" s="26">
        <v>5</v>
      </c>
      <c r="H14" s="26">
        <v>4</v>
      </c>
      <c r="I14" s="15">
        <f t="shared" si="4"/>
        <v>-0.19999999999999996</v>
      </c>
      <c r="J14" s="26">
        <v>111</v>
      </c>
      <c r="K14" s="26">
        <v>91</v>
      </c>
      <c r="L14" s="26">
        <v>69</v>
      </c>
      <c r="M14" s="22">
        <f t="shared" si="5"/>
        <v>-0.24175824175824179</v>
      </c>
      <c r="N14" s="13">
        <f t="shared" si="0"/>
        <v>119</v>
      </c>
      <c r="O14" s="13">
        <f t="shared" si="1"/>
        <v>98</v>
      </c>
      <c r="P14" s="13">
        <f t="shared" si="2"/>
        <v>73</v>
      </c>
      <c r="Q14" s="15">
        <f t="shared" si="6"/>
        <v>-0.25510204081632648</v>
      </c>
    </row>
    <row r="15" spans="1:17" s="40" customFormat="1" ht="18" customHeight="1" x14ac:dyDescent="0.2">
      <c r="A15" s="25" t="s">
        <v>155</v>
      </c>
      <c r="B15" s="26">
        <v>1</v>
      </c>
      <c r="C15" s="26">
        <v>0</v>
      </c>
      <c r="D15" s="26">
        <v>1</v>
      </c>
      <c r="E15" s="22" t="s">
        <v>62</v>
      </c>
      <c r="F15" s="26">
        <v>9</v>
      </c>
      <c r="G15" s="26">
        <v>7</v>
      </c>
      <c r="H15" s="26">
        <v>10</v>
      </c>
      <c r="I15" s="15">
        <f t="shared" si="4"/>
        <v>0.4285714285714286</v>
      </c>
      <c r="J15" s="26">
        <v>59</v>
      </c>
      <c r="K15" s="26">
        <v>63</v>
      </c>
      <c r="L15" s="26">
        <v>48</v>
      </c>
      <c r="M15" s="22">
        <f t="shared" si="5"/>
        <v>-0.23809523809523814</v>
      </c>
      <c r="N15" s="13">
        <f t="shared" si="0"/>
        <v>69</v>
      </c>
      <c r="O15" s="13">
        <f t="shared" si="1"/>
        <v>70</v>
      </c>
      <c r="P15" s="13">
        <f t="shared" si="2"/>
        <v>59</v>
      </c>
      <c r="Q15" s="15">
        <f t="shared" si="6"/>
        <v>-0.15714285714285714</v>
      </c>
    </row>
    <row r="16" spans="1:17" s="40" customFormat="1" ht="18" customHeight="1" x14ac:dyDescent="0.2">
      <c r="A16" s="25" t="s">
        <v>153</v>
      </c>
      <c r="B16" s="26">
        <v>1</v>
      </c>
      <c r="C16" s="26">
        <v>0</v>
      </c>
      <c r="D16" s="26">
        <v>1</v>
      </c>
      <c r="E16" s="22" t="s">
        <v>62</v>
      </c>
      <c r="F16" s="26">
        <v>4</v>
      </c>
      <c r="G16" s="26">
        <v>8</v>
      </c>
      <c r="H16" s="26">
        <v>4</v>
      </c>
      <c r="I16" s="15">
        <f t="shared" si="4"/>
        <v>-0.5</v>
      </c>
      <c r="J16" s="26">
        <v>49</v>
      </c>
      <c r="K16" s="26">
        <v>51</v>
      </c>
      <c r="L16" s="26">
        <v>41</v>
      </c>
      <c r="M16" s="22">
        <f t="shared" si="5"/>
        <v>-0.19607843137254899</v>
      </c>
      <c r="N16" s="13">
        <f t="shared" si="0"/>
        <v>54</v>
      </c>
      <c r="O16" s="13">
        <f t="shared" si="1"/>
        <v>59</v>
      </c>
      <c r="P16" s="13">
        <f t="shared" si="2"/>
        <v>46</v>
      </c>
      <c r="Q16" s="15">
        <f t="shared" si="6"/>
        <v>-0.22033898305084743</v>
      </c>
    </row>
    <row r="17" spans="1:17" s="40" customFormat="1" ht="18" customHeight="1" x14ac:dyDescent="0.2">
      <c r="A17" s="25" t="s">
        <v>70</v>
      </c>
      <c r="B17" s="26">
        <v>1</v>
      </c>
      <c r="C17" s="26">
        <v>0</v>
      </c>
      <c r="D17" s="26">
        <v>0</v>
      </c>
      <c r="E17" s="22" t="s">
        <v>62</v>
      </c>
      <c r="F17" s="26">
        <v>0</v>
      </c>
      <c r="G17" s="26">
        <v>1</v>
      </c>
      <c r="H17" s="26">
        <v>1</v>
      </c>
      <c r="I17" s="15">
        <f t="shared" si="4"/>
        <v>0</v>
      </c>
      <c r="J17" s="26">
        <v>28</v>
      </c>
      <c r="K17" s="26">
        <v>30</v>
      </c>
      <c r="L17" s="26">
        <v>23</v>
      </c>
      <c r="M17" s="22">
        <f t="shared" si="5"/>
        <v>-0.23333333333333328</v>
      </c>
      <c r="N17" s="13">
        <f t="shared" si="0"/>
        <v>29</v>
      </c>
      <c r="O17" s="13">
        <f t="shared" si="1"/>
        <v>31</v>
      </c>
      <c r="P17" s="13">
        <f t="shared" si="2"/>
        <v>24</v>
      </c>
      <c r="Q17" s="15">
        <f t="shared" si="6"/>
        <v>-0.22580645161290325</v>
      </c>
    </row>
    <row r="18" spans="1:17" s="40" customFormat="1" ht="18" customHeight="1" thickBot="1" x14ac:dyDescent="0.25">
      <c r="A18" s="27" t="s">
        <v>0</v>
      </c>
      <c r="B18" s="23">
        <f>SUM(B5:B17)</f>
        <v>140</v>
      </c>
      <c r="C18" s="16">
        <f t="shared" ref="C18:D18" si="7">SUM(C5:C17)</f>
        <v>109</v>
      </c>
      <c r="D18" s="16">
        <f t="shared" si="7"/>
        <v>111</v>
      </c>
      <c r="E18" s="24">
        <f>D18/C18-1</f>
        <v>1.8348623853210899E-2</v>
      </c>
      <c r="F18" s="16">
        <f t="shared" ref="F18:H18" si="8">SUM(F5:F17)</f>
        <v>450</v>
      </c>
      <c r="G18" s="16">
        <f t="shared" si="8"/>
        <v>350</v>
      </c>
      <c r="H18" s="16">
        <f t="shared" si="8"/>
        <v>426</v>
      </c>
      <c r="I18" s="17">
        <f>H18/G18-1</f>
        <v>0.21714285714285708</v>
      </c>
      <c r="J18" s="23">
        <f t="shared" ref="J18:L18" si="9">SUM(J5:J17)</f>
        <v>5391</v>
      </c>
      <c r="K18" s="16">
        <f t="shared" si="9"/>
        <v>4648</v>
      </c>
      <c r="L18" s="16">
        <f t="shared" si="9"/>
        <v>4847</v>
      </c>
      <c r="M18" s="24">
        <f>L18/K18-1</f>
        <v>4.2814113597246184E-2</v>
      </c>
      <c r="N18" s="16">
        <f t="shared" ref="N18:P18" si="10">SUM(N5:N17)</f>
        <v>5981</v>
      </c>
      <c r="O18" s="16">
        <f t="shared" si="10"/>
        <v>5107</v>
      </c>
      <c r="P18" s="16">
        <f t="shared" si="10"/>
        <v>5384</v>
      </c>
      <c r="Q18" s="17">
        <f>P18/O18-1</f>
        <v>5.4239279420403408E-2</v>
      </c>
    </row>
    <row r="19" spans="1:17" s="40" customFormat="1" ht="12" customHeight="1" x14ac:dyDescent="0.2">
      <c r="A19" s="40" t="s">
        <v>338</v>
      </c>
    </row>
    <row r="20" spans="1:17" s="40" customFormat="1" ht="12" customHeight="1" x14ac:dyDescent="0.2"/>
    <row r="21" spans="1:17" s="40" customFormat="1" ht="12" customHeight="1" x14ac:dyDescent="0.2"/>
    <row r="22" spans="1:17" s="40" customFormat="1" ht="12" customHeight="1" x14ac:dyDescent="0.2"/>
    <row r="23" spans="1:17" s="40" customFormat="1" ht="12" customHeight="1" x14ac:dyDescent="0.2"/>
    <row r="24" spans="1:17" s="40" customFormat="1" ht="12" customHeight="1" x14ac:dyDescent="0.2"/>
    <row r="25" spans="1:17" s="40" customFormat="1" ht="12" customHeight="1" x14ac:dyDescent="0.2"/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3" orientation="portrait" r:id="rId1"/>
  <ignoredErrors>
    <ignoredError sqref="B18:H18 N18:Q18" formulaRange="1"/>
    <ignoredError sqref="I18:M18" formula="1" formulaRange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4662-64B0-4DF8-AB92-DCE793F8308D}">
  <sheetPr codeName="Planilha32"/>
  <dimension ref="A1:Q33"/>
  <sheetViews>
    <sheetView showGridLines="0" zoomScale="120" zoomScaleNormal="120" workbookViewId="0">
      <selection activeCell="G1" sqref="G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332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92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107" t="s">
        <v>94</v>
      </c>
      <c r="B5" s="26">
        <v>57</v>
      </c>
      <c r="C5" s="26">
        <v>52</v>
      </c>
      <c r="D5" s="26">
        <v>35</v>
      </c>
      <c r="E5" s="22">
        <f>D5/C5-1</f>
        <v>-0.32692307692307687</v>
      </c>
      <c r="F5" s="26">
        <v>203</v>
      </c>
      <c r="G5" s="26">
        <v>169</v>
      </c>
      <c r="H5" s="26">
        <v>212</v>
      </c>
      <c r="I5" s="15">
        <f>H5/G5-1</f>
        <v>0.25443786982248517</v>
      </c>
      <c r="J5" s="13">
        <v>3063</v>
      </c>
      <c r="K5" s="13">
        <v>2636</v>
      </c>
      <c r="L5" s="13">
        <v>2799</v>
      </c>
      <c r="M5" s="22">
        <f>L5/K5-1</f>
        <v>6.1836115326251884E-2</v>
      </c>
      <c r="N5" s="13">
        <f t="shared" ref="N5:P6" si="0">B5+F5+J5</f>
        <v>3323</v>
      </c>
      <c r="O5" s="13">
        <f t="shared" si="0"/>
        <v>2857</v>
      </c>
      <c r="P5" s="68">
        <f t="shared" si="0"/>
        <v>3046</v>
      </c>
      <c r="Q5" s="81">
        <f>P5/O5-1</f>
        <v>6.6153307665383299E-2</v>
      </c>
    </row>
    <row r="6" spans="1:17" s="40" customFormat="1" ht="12" customHeight="1" x14ac:dyDescent="0.2">
      <c r="A6" s="107" t="s">
        <v>93</v>
      </c>
      <c r="B6" s="26">
        <v>83</v>
      </c>
      <c r="C6" s="26">
        <v>57</v>
      </c>
      <c r="D6" s="26">
        <v>76</v>
      </c>
      <c r="E6" s="22">
        <f t="shared" ref="E6" si="1">D6/C6-1</f>
        <v>0.33333333333333326</v>
      </c>
      <c r="F6" s="26">
        <v>247</v>
      </c>
      <c r="G6" s="26">
        <v>181</v>
      </c>
      <c r="H6" s="26">
        <v>214</v>
      </c>
      <c r="I6" s="15">
        <f t="shared" ref="I6" si="2">H6/G6-1</f>
        <v>0.18232044198895037</v>
      </c>
      <c r="J6" s="13">
        <v>2328</v>
      </c>
      <c r="K6" s="13">
        <v>2012</v>
      </c>
      <c r="L6" s="13">
        <v>2048</v>
      </c>
      <c r="M6" s="22">
        <f t="shared" ref="M6" si="3">L6/K6-1</f>
        <v>1.7892644135188762E-2</v>
      </c>
      <c r="N6" s="13">
        <f t="shared" si="0"/>
        <v>2658</v>
      </c>
      <c r="O6" s="13">
        <f t="shared" si="0"/>
        <v>2250</v>
      </c>
      <c r="P6" s="13">
        <f t="shared" si="0"/>
        <v>2338</v>
      </c>
      <c r="Q6" s="15">
        <f t="shared" ref="Q6" si="4">P6/O6-1</f>
        <v>3.9111111111111097E-2</v>
      </c>
    </row>
    <row r="7" spans="1:17" s="40" customFormat="1" ht="12" customHeight="1" thickBot="1" x14ac:dyDescent="0.25">
      <c r="A7" s="27" t="s">
        <v>0</v>
      </c>
      <c r="B7" s="23">
        <f>SUM(B5:B6)</f>
        <v>140</v>
      </c>
      <c r="C7" s="16">
        <f t="shared" ref="C7:D7" si="5">SUM(C5:C6)</f>
        <v>109</v>
      </c>
      <c r="D7" s="16">
        <f t="shared" si="5"/>
        <v>111</v>
      </c>
      <c r="E7" s="24">
        <f>D7/C7-1</f>
        <v>1.8348623853210899E-2</v>
      </c>
      <c r="F7" s="16">
        <f t="shared" ref="F7:H7" si="6">SUM(F5:F6)</f>
        <v>450</v>
      </c>
      <c r="G7" s="16">
        <f t="shared" si="6"/>
        <v>350</v>
      </c>
      <c r="H7" s="16">
        <f t="shared" si="6"/>
        <v>426</v>
      </c>
      <c r="I7" s="17">
        <f>H7/G7-1</f>
        <v>0.21714285714285708</v>
      </c>
      <c r="J7" s="23">
        <f t="shared" ref="J7:L7" si="7">SUM(J5:J6)</f>
        <v>5391</v>
      </c>
      <c r="K7" s="16">
        <f t="shared" si="7"/>
        <v>4648</v>
      </c>
      <c r="L7" s="16">
        <f t="shared" si="7"/>
        <v>4847</v>
      </c>
      <c r="M7" s="24">
        <f>L7/K7-1</f>
        <v>4.2814113597246184E-2</v>
      </c>
      <c r="N7" s="16">
        <f t="shared" ref="N7:P7" si="8">SUM(N5:N6)</f>
        <v>5981</v>
      </c>
      <c r="O7" s="16">
        <f t="shared" si="8"/>
        <v>5107</v>
      </c>
      <c r="P7" s="16">
        <f t="shared" si="8"/>
        <v>5384</v>
      </c>
      <c r="Q7" s="17">
        <f>P7/O7-1</f>
        <v>5.4239279420403408E-2</v>
      </c>
    </row>
    <row r="8" spans="1:17" s="40" customFormat="1" ht="12" customHeight="1" x14ac:dyDescent="0.2"/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pans="13:13" s="40" customFormat="1" ht="12" customHeight="1" x14ac:dyDescent="0.2"/>
    <row r="18" spans="13:13" s="40" customFormat="1" ht="12" customHeight="1" x14ac:dyDescent="0.2"/>
    <row r="19" spans="13:13" s="40" customFormat="1" ht="12" customHeight="1" x14ac:dyDescent="0.2">
      <c r="M19" s="40" t="s">
        <v>277</v>
      </c>
    </row>
    <row r="20" spans="13:13" s="40" customFormat="1" ht="12" customHeight="1" x14ac:dyDescent="0.2"/>
    <row r="21" spans="13:13" s="40" customFormat="1" ht="12" customHeight="1" x14ac:dyDescent="0.2"/>
    <row r="22" spans="13:13" s="40" customFormat="1" ht="12" customHeight="1" x14ac:dyDescent="0.2"/>
    <row r="23" spans="13:13" s="40" customFormat="1" ht="12" customHeight="1" x14ac:dyDescent="0.2"/>
    <row r="24" spans="13:13" s="40" customFormat="1" ht="12" customHeight="1" x14ac:dyDescent="0.2"/>
    <row r="25" spans="13:13" s="40" customFormat="1" ht="12" customHeight="1" x14ac:dyDescent="0.2"/>
    <row r="26" spans="13:13" s="40" customFormat="1" ht="12" customHeight="1" x14ac:dyDescent="0.2"/>
    <row r="27" spans="13:13" s="40" customFormat="1" ht="12" customHeight="1" x14ac:dyDescent="0.2"/>
    <row r="28" spans="13:13" s="40" customFormat="1" ht="12" customHeight="1" x14ac:dyDescent="0.2"/>
    <row r="29" spans="13:13" s="40" customFormat="1" ht="12" customHeight="1" x14ac:dyDescent="0.2"/>
    <row r="30" spans="13:13" ht="12" customHeight="1" x14ac:dyDescent="0.3"/>
    <row r="31" spans="13:13" ht="12" customHeight="1" x14ac:dyDescent="0.3"/>
    <row r="32" spans="13:13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7:H7 N7:Q7" formulaRange="1"/>
    <ignoredError sqref="I7:M7" formula="1" formulaRange="1"/>
  </ignoredError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1F93-9CBA-43FA-9B76-2A5242C6A47F}">
  <sheetPr codeName="Planilha33"/>
  <dimension ref="A1:Q35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333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95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110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366</v>
      </c>
      <c r="B5" s="95">
        <v>3</v>
      </c>
      <c r="C5" s="26">
        <v>4</v>
      </c>
      <c r="D5" s="26">
        <v>3</v>
      </c>
      <c r="E5" s="22">
        <f t="shared" ref="E5:E19" si="0">D5/C5-1</f>
        <v>-0.25</v>
      </c>
      <c r="F5" s="95">
        <v>37</v>
      </c>
      <c r="G5" s="26">
        <v>27</v>
      </c>
      <c r="H5" s="26">
        <v>38</v>
      </c>
      <c r="I5" s="15">
        <f t="shared" ref="I5:I19" si="1">H5/G5-1</f>
        <v>0.40740740740740744</v>
      </c>
      <c r="J5" s="95">
        <v>594</v>
      </c>
      <c r="K5" s="26">
        <v>465</v>
      </c>
      <c r="L5" s="26">
        <v>484</v>
      </c>
      <c r="M5" s="22">
        <f t="shared" ref="M5:M19" si="2">L5/K5-1</f>
        <v>4.086021505376336E-2</v>
      </c>
      <c r="N5" s="13">
        <f t="shared" ref="N5:P18" si="3">B5+F5+J5</f>
        <v>634</v>
      </c>
      <c r="O5" s="13">
        <f t="shared" si="3"/>
        <v>496</v>
      </c>
      <c r="P5" s="68">
        <f t="shared" si="3"/>
        <v>525</v>
      </c>
      <c r="Q5" s="81">
        <f t="shared" ref="Q5:Q18" si="4">P5/O5-1</f>
        <v>5.8467741935483764E-2</v>
      </c>
    </row>
    <row r="6" spans="1:17" s="40" customFormat="1" ht="12" customHeight="1" x14ac:dyDescent="0.2">
      <c r="A6" s="25" t="s">
        <v>252</v>
      </c>
      <c r="B6" s="95">
        <v>2</v>
      </c>
      <c r="C6" s="26">
        <v>3</v>
      </c>
      <c r="D6" s="26">
        <v>1</v>
      </c>
      <c r="E6" s="22">
        <f t="shared" si="0"/>
        <v>-0.66666666666666674</v>
      </c>
      <c r="F6" s="95">
        <v>17</v>
      </c>
      <c r="G6" s="26">
        <v>12</v>
      </c>
      <c r="H6" s="26">
        <v>18</v>
      </c>
      <c r="I6" s="15">
        <f t="shared" si="1"/>
        <v>0.5</v>
      </c>
      <c r="J6" s="95">
        <v>414</v>
      </c>
      <c r="K6" s="26">
        <v>340</v>
      </c>
      <c r="L6" s="26">
        <v>364</v>
      </c>
      <c r="M6" s="22">
        <f t="shared" si="2"/>
        <v>7.0588235294117618E-2</v>
      </c>
      <c r="N6" s="13">
        <f t="shared" si="3"/>
        <v>433</v>
      </c>
      <c r="O6" s="13">
        <f t="shared" si="3"/>
        <v>355</v>
      </c>
      <c r="P6" s="13">
        <f t="shared" si="3"/>
        <v>383</v>
      </c>
      <c r="Q6" s="15">
        <f t="shared" si="4"/>
        <v>7.8873239436619613E-2</v>
      </c>
    </row>
    <row r="7" spans="1:17" s="40" customFormat="1" ht="12" customHeight="1" x14ac:dyDescent="0.2">
      <c r="A7" s="25" t="s">
        <v>253</v>
      </c>
      <c r="B7" s="95">
        <v>4</v>
      </c>
      <c r="C7" s="26">
        <v>2</v>
      </c>
      <c r="D7" s="26">
        <v>3</v>
      </c>
      <c r="E7" s="22">
        <f t="shared" si="0"/>
        <v>0.5</v>
      </c>
      <c r="F7" s="95">
        <v>23</v>
      </c>
      <c r="G7" s="26">
        <v>13</v>
      </c>
      <c r="H7" s="26">
        <v>26</v>
      </c>
      <c r="I7" s="15">
        <f t="shared" si="1"/>
        <v>1</v>
      </c>
      <c r="J7" s="95">
        <v>340</v>
      </c>
      <c r="K7" s="26">
        <v>267</v>
      </c>
      <c r="L7" s="26">
        <v>299</v>
      </c>
      <c r="M7" s="22">
        <f t="shared" si="2"/>
        <v>0.11985018726591767</v>
      </c>
      <c r="N7" s="13">
        <f t="shared" si="3"/>
        <v>367</v>
      </c>
      <c r="O7" s="13">
        <f t="shared" si="3"/>
        <v>282</v>
      </c>
      <c r="P7" s="13">
        <f t="shared" si="3"/>
        <v>328</v>
      </c>
      <c r="Q7" s="15">
        <f t="shared" si="4"/>
        <v>0.16312056737588643</v>
      </c>
    </row>
    <row r="8" spans="1:17" s="40" customFormat="1" ht="12" customHeight="1" x14ac:dyDescent="0.2">
      <c r="A8" s="25" t="s">
        <v>254</v>
      </c>
      <c r="B8" s="95">
        <v>3</v>
      </c>
      <c r="C8" s="26">
        <v>4</v>
      </c>
      <c r="D8" s="26">
        <v>2</v>
      </c>
      <c r="E8" s="22">
        <f t="shared" si="0"/>
        <v>-0.5</v>
      </c>
      <c r="F8" s="95">
        <v>15</v>
      </c>
      <c r="G8" s="26">
        <v>17</v>
      </c>
      <c r="H8" s="26">
        <v>21</v>
      </c>
      <c r="I8" s="15">
        <f t="shared" si="1"/>
        <v>0.23529411764705888</v>
      </c>
      <c r="J8" s="95">
        <v>232</v>
      </c>
      <c r="K8" s="26">
        <v>220</v>
      </c>
      <c r="L8" s="26">
        <v>266</v>
      </c>
      <c r="M8" s="22">
        <f t="shared" si="2"/>
        <v>0.20909090909090899</v>
      </c>
      <c r="N8" s="13">
        <f t="shared" si="3"/>
        <v>250</v>
      </c>
      <c r="O8" s="13">
        <f t="shared" si="3"/>
        <v>241</v>
      </c>
      <c r="P8" s="13">
        <f t="shared" si="3"/>
        <v>289</v>
      </c>
      <c r="Q8" s="15">
        <f t="shared" si="4"/>
        <v>0.19917012448132776</v>
      </c>
    </row>
    <row r="9" spans="1:17" s="40" customFormat="1" ht="12" customHeight="1" x14ac:dyDescent="0.2">
      <c r="A9" s="25" t="s">
        <v>255</v>
      </c>
      <c r="B9" s="95">
        <v>1</v>
      </c>
      <c r="C9" s="26">
        <v>2</v>
      </c>
      <c r="D9" s="26">
        <v>4</v>
      </c>
      <c r="E9" s="22">
        <f t="shared" si="0"/>
        <v>1</v>
      </c>
      <c r="F9" s="95">
        <v>10</v>
      </c>
      <c r="G9" s="26">
        <v>15</v>
      </c>
      <c r="H9" s="26">
        <v>16</v>
      </c>
      <c r="I9" s="15">
        <f t="shared" si="1"/>
        <v>6.6666666666666652E-2</v>
      </c>
      <c r="J9" s="95">
        <v>214</v>
      </c>
      <c r="K9" s="26">
        <v>210</v>
      </c>
      <c r="L9" s="26">
        <v>208</v>
      </c>
      <c r="M9" s="22">
        <f t="shared" si="2"/>
        <v>-9.52380952380949E-3</v>
      </c>
      <c r="N9" s="13">
        <f t="shared" si="3"/>
        <v>225</v>
      </c>
      <c r="O9" s="13">
        <f t="shared" si="3"/>
        <v>227</v>
      </c>
      <c r="P9" s="13">
        <f t="shared" si="3"/>
        <v>228</v>
      </c>
      <c r="Q9" s="15">
        <f t="shared" si="4"/>
        <v>4.405286343612369E-3</v>
      </c>
    </row>
    <row r="10" spans="1:17" s="40" customFormat="1" ht="12" customHeight="1" x14ac:dyDescent="0.2">
      <c r="A10" s="25" t="s">
        <v>256</v>
      </c>
      <c r="B10" s="95">
        <v>3</v>
      </c>
      <c r="C10" s="26">
        <v>0</v>
      </c>
      <c r="D10" s="26">
        <v>1</v>
      </c>
      <c r="E10" s="22" t="s">
        <v>62</v>
      </c>
      <c r="F10" s="95">
        <v>11</v>
      </c>
      <c r="G10" s="26">
        <v>8</v>
      </c>
      <c r="H10" s="26">
        <v>16</v>
      </c>
      <c r="I10" s="15">
        <f t="shared" si="1"/>
        <v>1</v>
      </c>
      <c r="J10" s="95">
        <v>220</v>
      </c>
      <c r="K10" s="26">
        <v>221</v>
      </c>
      <c r="L10" s="26">
        <v>223</v>
      </c>
      <c r="M10" s="22">
        <f t="shared" si="2"/>
        <v>9.0497737556560764E-3</v>
      </c>
      <c r="N10" s="13">
        <f t="shared" si="3"/>
        <v>234</v>
      </c>
      <c r="O10" s="13">
        <f t="shared" si="3"/>
        <v>229</v>
      </c>
      <c r="P10" s="13">
        <f t="shared" si="3"/>
        <v>240</v>
      </c>
      <c r="Q10" s="15">
        <f t="shared" si="4"/>
        <v>4.8034934497816595E-2</v>
      </c>
    </row>
    <row r="11" spans="1:17" s="40" customFormat="1" ht="12" customHeight="1" x14ac:dyDescent="0.2">
      <c r="A11" s="25" t="s">
        <v>257</v>
      </c>
      <c r="B11" s="95">
        <v>1</v>
      </c>
      <c r="C11" s="26">
        <v>1</v>
      </c>
      <c r="D11" s="26">
        <v>4</v>
      </c>
      <c r="E11" s="22">
        <f t="shared" si="0"/>
        <v>3</v>
      </c>
      <c r="F11" s="95">
        <v>30</v>
      </c>
      <c r="G11" s="26">
        <v>11</v>
      </c>
      <c r="H11" s="26">
        <v>18</v>
      </c>
      <c r="I11" s="15">
        <f t="shared" si="1"/>
        <v>0.63636363636363646</v>
      </c>
      <c r="J11" s="95">
        <v>282</v>
      </c>
      <c r="K11" s="26">
        <v>200</v>
      </c>
      <c r="L11" s="26">
        <v>235</v>
      </c>
      <c r="M11" s="22">
        <f t="shared" si="2"/>
        <v>0.17500000000000004</v>
      </c>
      <c r="N11" s="13">
        <f t="shared" si="3"/>
        <v>313</v>
      </c>
      <c r="O11" s="13">
        <f t="shared" si="3"/>
        <v>212</v>
      </c>
      <c r="P11" s="13">
        <f t="shared" si="3"/>
        <v>257</v>
      </c>
      <c r="Q11" s="15">
        <f t="shared" si="4"/>
        <v>0.21226415094339623</v>
      </c>
    </row>
    <row r="12" spans="1:17" s="40" customFormat="1" ht="12" customHeight="1" x14ac:dyDescent="0.2">
      <c r="A12" s="25" t="s">
        <v>258</v>
      </c>
      <c r="B12" s="95">
        <v>11</v>
      </c>
      <c r="C12" s="26">
        <v>2</v>
      </c>
      <c r="D12" s="26">
        <v>5</v>
      </c>
      <c r="E12" s="22">
        <f t="shared" si="0"/>
        <v>1.5</v>
      </c>
      <c r="F12" s="95">
        <v>22</v>
      </c>
      <c r="G12" s="26">
        <v>18</v>
      </c>
      <c r="H12" s="26">
        <v>23</v>
      </c>
      <c r="I12" s="15">
        <f t="shared" si="1"/>
        <v>0.27777777777777768</v>
      </c>
      <c r="J12" s="95">
        <v>308</v>
      </c>
      <c r="K12" s="26">
        <v>286</v>
      </c>
      <c r="L12" s="26">
        <v>264</v>
      </c>
      <c r="M12" s="22">
        <f t="shared" si="2"/>
        <v>-7.6923076923076872E-2</v>
      </c>
      <c r="N12" s="13">
        <f t="shared" si="3"/>
        <v>341</v>
      </c>
      <c r="O12" s="13">
        <f t="shared" si="3"/>
        <v>306</v>
      </c>
      <c r="P12" s="13">
        <f t="shared" si="3"/>
        <v>292</v>
      </c>
      <c r="Q12" s="15">
        <f t="shared" si="4"/>
        <v>-4.5751633986928053E-2</v>
      </c>
    </row>
    <row r="13" spans="1:17" s="40" customFormat="1" ht="12" customHeight="1" x14ac:dyDescent="0.2">
      <c r="A13" s="25" t="s">
        <v>259</v>
      </c>
      <c r="B13" s="95">
        <v>5</v>
      </c>
      <c r="C13" s="26">
        <v>9</v>
      </c>
      <c r="D13" s="26">
        <v>7</v>
      </c>
      <c r="E13" s="22">
        <f t="shared" si="0"/>
        <v>-0.22222222222222221</v>
      </c>
      <c r="F13" s="95">
        <v>32</v>
      </c>
      <c r="G13" s="26">
        <v>21</v>
      </c>
      <c r="H13" s="26">
        <v>21</v>
      </c>
      <c r="I13" s="15">
        <f t="shared" si="1"/>
        <v>0</v>
      </c>
      <c r="J13" s="95">
        <v>362</v>
      </c>
      <c r="K13" s="26">
        <v>300</v>
      </c>
      <c r="L13" s="26">
        <v>294</v>
      </c>
      <c r="M13" s="22">
        <f t="shared" si="2"/>
        <v>-2.0000000000000018E-2</v>
      </c>
      <c r="N13" s="13">
        <f t="shared" si="3"/>
        <v>399</v>
      </c>
      <c r="O13" s="13">
        <f t="shared" si="3"/>
        <v>330</v>
      </c>
      <c r="P13" s="13">
        <f t="shared" si="3"/>
        <v>322</v>
      </c>
      <c r="Q13" s="15">
        <f t="shared" si="4"/>
        <v>-2.4242424242424288E-2</v>
      </c>
    </row>
    <row r="14" spans="1:17" s="40" customFormat="1" ht="12" customHeight="1" x14ac:dyDescent="0.2">
      <c r="A14" s="25" t="s">
        <v>260</v>
      </c>
      <c r="B14" s="95">
        <v>10</v>
      </c>
      <c r="C14" s="26">
        <v>7</v>
      </c>
      <c r="D14" s="26">
        <v>9</v>
      </c>
      <c r="E14" s="22">
        <f t="shared" si="0"/>
        <v>0.28571428571428581</v>
      </c>
      <c r="F14" s="95">
        <v>35</v>
      </c>
      <c r="G14" s="26">
        <v>31</v>
      </c>
      <c r="H14" s="26">
        <v>25</v>
      </c>
      <c r="I14" s="15">
        <f t="shared" si="1"/>
        <v>-0.19354838709677424</v>
      </c>
      <c r="J14" s="95">
        <v>412</v>
      </c>
      <c r="K14" s="26">
        <v>315</v>
      </c>
      <c r="L14" s="26">
        <v>335</v>
      </c>
      <c r="M14" s="22">
        <f t="shared" si="2"/>
        <v>6.3492063492063489E-2</v>
      </c>
      <c r="N14" s="13">
        <f t="shared" si="3"/>
        <v>457</v>
      </c>
      <c r="O14" s="13">
        <f t="shared" si="3"/>
        <v>353</v>
      </c>
      <c r="P14" s="13">
        <f t="shared" si="3"/>
        <v>369</v>
      </c>
      <c r="Q14" s="15">
        <f t="shared" si="4"/>
        <v>4.5325779036827107E-2</v>
      </c>
    </row>
    <row r="15" spans="1:17" s="40" customFormat="1" ht="12" customHeight="1" x14ac:dyDescent="0.2">
      <c r="A15" s="25" t="s">
        <v>261</v>
      </c>
      <c r="B15" s="95">
        <v>15</v>
      </c>
      <c r="C15" s="26">
        <v>11</v>
      </c>
      <c r="D15" s="26">
        <v>10</v>
      </c>
      <c r="E15" s="22">
        <f t="shared" si="0"/>
        <v>-9.0909090909090939E-2</v>
      </c>
      <c r="F15" s="95">
        <v>34</v>
      </c>
      <c r="G15" s="26">
        <v>34</v>
      </c>
      <c r="H15" s="26">
        <v>44</v>
      </c>
      <c r="I15" s="15">
        <f t="shared" si="1"/>
        <v>0.29411764705882359</v>
      </c>
      <c r="J15" s="95">
        <v>395</v>
      </c>
      <c r="K15" s="26">
        <v>369</v>
      </c>
      <c r="L15" s="26">
        <v>377</v>
      </c>
      <c r="M15" s="22">
        <f t="shared" si="2"/>
        <v>2.1680216802167918E-2</v>
      </c>
      <c r="N15" s="13">
        <f t="shared" si="3"/>
        <v>444</v>
      </c>
      <c r="O15" s="13">
        <f t="shared" si="3"/>
        <v>414</v>
      </c>
      <c r="P15" s="13">
        <f t="shared" si="3"/>
        <v>431</v>
      </c>
      <c r="Q15" s="15">
        <f t="shared" si="4"/>
        <v>4.106280193236711E-2</v>
      </c>
    </row>
    <row r="16" spans="1:17" s="40" customFormat="1" ht="12" customHeight="1" x14ac:dyDescent="0.2">
      <c r="A16" s="25" t="s">
        <v>262</v>
      </c>
      <c r="B16" s="95">
        <v>20</v>
      </c>
      <c r="C16" s="26">
        <v>13</v>
      </c>
      <c r="D16" s="26">
        <v>15</v>
      </c>
      <c r="E16" s="22">
        <f t="shared" si="0"/>
        <v>0.15384615384615374</v>
      </c>
      <c r="F16" s="95">
        <v>44</v>
      </c>
      <c r="G16" s="26">
        <v>28</v>
      </c>
      <c r="H16" s="26">
        <v>31</v>
      </c>
      <c r="I16" s="15">
        <f t="shared" si="1"/>
        <v>0.10714285714285721</v>
      </c>
      <c r="J16" s="95">
        <v>346</v>
      </c>
      <c r="K16" s="26">
        <v>344</v>
      </c>
      <c r="L16" s="26">
        <v>333</v>
      </c>
      <c r="M16" s="22">
        <f t="shared" si="2"/>
        <v>-3.1976744186046457E-2</v>
      </c>
      <c r="N16" s="13">
        <f t="shared" si="3"/>
        <v>410</v>
      </c>
      <c r="O16" s="13">
        <f t="shared" si="3"/>
        <v>385</v>
      </c>
      <c r="P16" s="13">
        <f t="shared" si="3"/>
        <v>379</v>
      </c>
      <c r="Q16" s="15">
        <f t="shared" si="4"/>
        <v>-1.558441558441559E-2</v>
      </c>
    </row>
    <row r="17" spans="1:17" s="40" customFormat="1" ht="12" customHeight="1" x14ac:dyDescent="0.2">
      <c r="A17" s="25" t="s">
        <v>263</v>
      </c>
      <c r="B17" s="95">
        <v>20</v>
      </c>
      <c r="C17" s="26">
        <v>7</v>
      </c>
      <c r="D17" s="26">
        <v>15</v>
      </c>
      <c r="E17" s="22">
        <f t="shared" si="0"/>
        <v>1.1428571428571428</v>
      </c>
      <c r="F17" s="95">
        <v>57</v>
      </c>
      <c r="G17" s="26">
        <v>31</v>
      </c>
      <c r="H17" s="26">
        <v>42</v>
      </c>
      <c r="I17" s="15">
        <f t="shared" si="1"/>
        <v>0.35483870967741926</v>
      </c>
      <c r="J17" s="95">
        <v>406</v>
      </c>
      <c r="K17" s="26">
        <v>370</v>
      </c>
      <c r="L17" s="26">
        <v>325</v>
      </c>
      <c r="M17" s="22">
        <f t="shared" si="2"/>
        <v>-0.1216216216216216</v>
      </c>
      <c r="N17" s="13">
        <f t="shared" si="3"/>
        <v>483</v>
      </c>
      <c r="O17" s="13">
        <f t="shared" si="3"/>
        <v>408</v>
      </c>
      <c r="P17" s="13">
        <f t="shared" si="3"/>
        <v>382</v>
      </c>
      <c r="Q17" s="15">
        <f t="shared" si="4"/>
        <v>-6.3725490196078427E-2</v>
      </c>
    </row>
    <row r="18" spans="1:17" s="40" customFormat="1" ht="12" customHeight="1" x14ac:dyDescent="0.2">
      <c r="A18" s="25" t="s">
        <v>356</v>
      </c>
      <c r="B18" s="95">
        <v>16</v>
      </c>
      <c r="C18" s="26">
        <v>17</v>
      </c>
      <c r="D18" s="26">
        <v>10</v>
      </c>
      <c r="E18" s="22">
        <f t="shared" si="0"/>
        <v>-0.41176470588235292</v>
      </c>
      <c r="F18" s="95">
        <v>36</v>
      </c>
      <c r="G18" s="26">
        <v>43</v>
      </c>
      <c r="H18" s="26">
        <v>32</v>
      </c>
      <c r="I18" s="15">
        <f t="shared" si="1"/>
        <v>-0.2558139534883721</v>
      </c>
      <c r="J18" s="95">
        <v>351</v>
      </c>
      <c r="K18" s="26">
        <v>314</v>
      </c>
      <c r="L18" s="26">
        <v>344</v>
      </c>
      <c r="M18" s="22">
        <f t="shared" si="2"/>
        <v>9.5541401273885329E-2</v>
      </c>
      <c r="N18" s="13">
        <f t="shared" si="3"/>
        <v>403</v>
      </c>
      <c r="O18" s="13">
        <f t="shared" si="3"/>
        <v>374</v>
      </c>
      <c r="P18" s="13">
        <f t="shared" si="3"/>
        <v>386</v>
      </c>
      <c r="Q18" s="15">
        <f t="shared" si="4"/>
        <v>3.2085561497326109E-2</v>
      </c>
    </row>
    <row r="19" spans="1:17" s="40" customFormat="1" ht="12" customHeight="1" x14ac:dyDescent="0.2">
      <c r="A19" s="25" t="s">
        <v>367</v>
      </c>
      <c r="B19" s="95">
        <v>25</v>
      </c>
      <c r="C19" s="26">
        <v>27</v>
      </c>
      <c r="D19" s="26">
        <v>22</v>
      </c>
      <c r="E19" s="22">
        <f t="shared" si="0"/>
        <v>-0.18518518518518523</v>
      </c>
      <c r="F19" s="95">
        <v>47</v>
      </c>
      <c r="G19" s="26">
        <v>41</v>
      </c>
      <c r="H19" s="26">
        <v>55</v>
      </c>
      <c r="I19" s="15">
        <f t="shared" si="1"/>
        <v>0.34146341463414642</v>
      </c>
      <c r="J19" s="95">
        <v>515</v>
      </c>
      <c r="K19" s="26">
        <v>427</v>
      </c>
      <c r="L19" s="26">
        <v>496</v>
      </c>
      <c r="M19" s="22">
        <f t="shared" si="2"/>
        <v>0.16159250585480089</v>
      </c>
      <c r="N19" s="13">
        <f t="shared" ref="N19" si="5">B19+F19+J19</f>
        <v>587</v>
      </c>
      <c r="O19" s="13">
        <f t="shared" ref="O19" si="6">C19+G19+K19</f>
        <v>495</v>
      </c>
      <c r="P19" s="13">
        <f t="shared" ref="P19" si="7">D19+H19+L19</f>
        <v>573</v>
      </c>
      <c r="Q19" s="15">
        <f t="shared" ref="Q19" si="8">P19/O19-1</f>
        <v>0.15757575757575748</v>
      </c>
    </row>
    <row r="20" spans="1:17" s="40" customFormat="1" ht="12" customHeight="1" x14ac:dyDescent="0.2">
      <c r="A20" s="25" t="s">
        <v>70</v>
      </c>
      <c r="B20" s="95">
        <v>1</v>
      </c>
      <c r="C20" s="26">
        <v>0</v>
      </c>
      <c r="D20" s="26">
        <v>0</v>
      </c>
      <c r="E20" s="22" t="s">
        <v>62</v>
      </c>
      <c r="F20" s="95">
        <v>0</v>
      </c>
      <c r="G20" s="26">
        <v>0</v>
      </c>
      <c r="H20" s="26">
        <v>0</v>
      </c>
      <c r="I20" s="15" t="s">
        <v>62</v>
      </c>
      <c r="J20" s="95">
        <v>0</v>
      </c>
      <c r="K20" s="26">
        <v>0</v>
      </c>
      <c r="L20" s="26">
        <v>0</v>
      </c>
      <c r="M20" s="15" t="s">
        <v>62</v>
      </c>
      <c r="N20" s="13">
        <f t="shared" ref="N20" si="9">B20+F20+J20</f>
        <v>1</v>
      </c>
      <c r="O20" s="13">
        <f t="shared" ref="O20" si="10">C20+G20+K20</f>
        <v>0</v>
      </c>
      <c r="P20" s="13">
        <f t="shared" ref="P20" si="11">D20+H20+L20</f>
        <v>0</v>
      </c>
      <c r="Q20" s="15" t="s">
        <v>62</v>
      </c>
    </row>
    <row r="21" spans="1:17" s="40" customFormat="1" ht="12" customHeight="1" thickBot="1" x14ac:dyDescent="0.25">
      <c r="A21" s="27" t="s">
        <v>0</v>
      </c>
      <c r="B21" s="23">
        <f>SUM(B5:B20)</f>
        <v>140</v>
      </c>
      <c r="C21" s="16">
        <f>SUM(C5:C20)</f>
        <v>109</v>
      </c>
      <c r="D21" s="16">
        <f>SUM(D5:D20)</f>
        <v>111</v>
      </c>
      <c r="E21" s="24">
        <f>D21/C21-1</f>
        <v>1.8348623853210899E-2</v>
      </c>
      <c r="F21" s="16">
        <f>SUM(F5:F20)</f>
        <v>450</v>
      </c>
      <c r="G21" s="16">
        <f>SUM(G5:G20)</f>
        <v>350</v>
      </c>
      <c r="H21" s="16">
        <f>SUM(H5:H20)</f>
        <v>426</v>
      </c>
      <c r="I21" s="17">
        <f>H21/G21-1</f>
        <v>0.21714285714285708</v>
      </c>
      <c r="J21" s="23">
        <f>SUM(J5:J20)</f>
        <v>5391</v>
      </c>
      <c r="K21" s="16">
        <f>SUM(K5:K20)</f>
        <v>4648</v>
      </c>
      <c r="L21" s="16">
        <f>SUM(L5:L20)</f>
        <v>4847</v>
      </c>
      <c r="M21" s="24">
        <f>L21/K21-1</f>
        <v>4.2814113597246184E-2</v>
      </c>
      <c r="N21" s="16">
        <f t="shared" ref="N21:P21" si="12">SUM(N5:N20)</f>
        <v>5981</v>
      </c>
      <c r="O21" s="16">
        <f t="shared" si="12"/>
        <v>5107</v>
      </c>
      <c r="P21" s="16">
        <f t="shared" si="12"/>
        <v>5384</v>
      </c>
      <c r="Q21" s="17">
        <f>P21/O21-1</f>
        <v>5.4239279420403408E-2</v>
      </c>
    </row>
    <row r="22" spans="1:17" s="40" customFormat="1" ht="12" customHeight="1" x14ac:dyDescent="0.2">
      <c r="A22" s="40" t="s">
        <v>338</v>
      </c>
    </row>
    <row r="23" spans="1:17" s="40" customFormat="1" ht="12" customHeight="1" x14ac:dyDescent="0.2"/>
    <row r="24" spans="1:17" s="40" customFormat="1" ht="12" customHeight="1" x14ac:dyDescent="0.2"/>
    <row r="25" spans="1:17" s="40" customFormat="1" ht="12" customHeight="1" x14ac:dyDescent="0.2"/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s="40" customFormat="1" ht="12" customHeight="1" x14ac:dyDescent="0.2"/>
    <row r="31" spans="1:17" s="40" customFormat="1" ht="12" customHeight="1" x14ac:dyDescent="0.2"/>
    <row r="32" spans="1:17" ht="12" customHeight="1" x14ac:dyDescent="0.3"/>
    <row r="33" ht="12" customHeight="1" x14ac:dyDescent="0.3"/>
    <row r="34" ht="12" customHeight="1" x14ac:dyDescent="0.3"/>
    <row r="35" ht="12" customHeight="1" x14ac:dyDescent="0.3"/>
  </sheetData>
  <mergeCells count="5">
    <mergeCell ref="A3:A4"/>
    <mergeCell ref="B3:E3"/>
    <mergeCell ref="F3:I3"/>
    <mergeCell ref="J3:M3"/>
    <mergeCell ref="N3:Q3"/>
  </mergeCells>
  <phoneticPr fontId="19" type="noConversion"/>
  <pageMargins left="0.7" right="0.7" top="0.75" bottom="0.75" header="0.3" footer="0.3"/>
  <pageSetup paperSize="9" orientation="portrait" r:id="rId1"/>
  <ignoredErrors>
    <ignoredError sqref="B21:H21 N21:Q21" formulaRange="1"/>
    <ignoredError sqref="I21:M21" formula="1" formulaRange="1"/>
  </ignoredError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CA4A-4FBD-4EBC-938A-B225D2950591}">
  <sheetPr codeName="Planilha34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311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210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111</v>
      </c>
      <c r="B5" s="26">
        <v>109</v>
      </c>
      <c r="C5" s="26">
        <v>99</v>
      </c>
      <c r="D5" s="26">
        <v>72</v>
      </c>
      <c r="E5" s="22">
        <f>D5/C5-1</f>
        <v>-0.27272727272727271</v>
      </c>
      <c r="F5" s="26">
        <v>368</v>
      </c>
      <c r="G5" s="26">
        <v>343</v>
      </c>
      <c r="H5" s="26">
        <v>402</v>
      </c>
      <c r="I5" s="15">
        <f>H5/G5-1</f>
        <v>0.17201166180758021</v>
      </c>
      <c r="J5" s="13">
        <v>10249</v>
      </c>
      <c r="K5" s="13">
        <v>8813</v>
      </c>
      <c r="L5" s="13">
        <v>9037</v>
      </c>
      <c r="M5" s="22">
        <f>L5/K5-1</f>
        <v>2.5416997617156545E-2</v>
      </c>
      <c r="N5" s="13">
        <f t="shared" ref="N5:P7" si="0">B5+F5+J5</f>
        <v>10726</v>
      </c>
      <c r="O5" s="68">
        <f t="shared" si="0"/>
        <v>9255</v>
      </c>
      <c r="P5" s="68">
        <f t="shared" si="0"/>
        <v>9511</v>
      </c>
      <c r="Q5" s="81">
        <f>P5/O5-1</f>
        <v>2.7660723933009113E-2</v>
      </c>
    </row>
    <row r="6" spans="1:17" s="40" customFormat="1" ht="12" customHeight="1" x14ac:dyDescent="0.2">
      <c r="A6" s="25" t="s">
        <v>344</v>
      </c>
      <c r="B6" s="26">
        <v>6</v>
      </c>
      <c r="C6" s="26">
        <v>4</v>
      </c>
      <c r="D6" s="26">
        <v>2</v>
      </c>
      <c r="E6" s="22">
        <f>D6/C6-1</f>
        <v>-0.5</v>
      </c>
      <c r="F6" s="26">
        <v>23</v>
      </c>
      <c r="G6" s="26">
        <v>12</v>
      </c>
      <c r="H6" s="26">
        <v>17</v>
      </c>
      <c r="I6" s="15">
        <f t="shared" ref="I6:I7" si="1">H6/G6-1</f>
        <v>0.41666666666666674</v>
      </c>
      <c r="J6" s="26">
        <v>180</v>
      </c>
      <c r="K6" s="26">
        <v>167</v>
      </c>
      <c r="L6" s="26">
        <v>201</v>
      </c>
      <c r="M6" s="22">
        <f t="shared" ref="M6:M7" si="2">L6/K6-1</f>
        <v>0.20359281437125754</v>
      </c>
      <c r="N6" s="13">
        <f t="shared" si="0"/>
        <v>209</v>
      </c>
      <c r="O6" s="13">
        <f t="shared" si="0"/>
        <v>183</v>
      </c>
      <c r="P6" s="13">
        <f t="shared" si="0"/>
        <v>220</v>
      </c>
      <c r="Q6" s="15">
        <f t="shared" ref="Q6:Q7" si="3">P6/O6-1</f>
        <v>0.20218579234972678</v>
      </c>
    </row>
    <row r="7" spans="1:17" s="40" customFormat="1" ht="12" customHeight="1" x14ac:dyDescent="0.2">
      <c r="A7" s="25" t="s">
        <v>345</v>
      </c>
      <c r="B7" s="26">
        <v>30</v>
      </c>
      <c r="C7" s="26">
        <v>2</v>
      </c>
      <c r="D7" s="26">
        <v>2</v>
      </c>
      <c r="E7" s="22">
        <f t="shared" ref="E7" si="4">D7/C7-1</f>
        <v>0</v>
      </c>
      <c r="F7" s="26">
        <v>27</v>
      </c>
      <c r="G7" s="26">
        <v>11</v>
      </c>
      <c r="H7" s="26">
        <v>6</v>
      </c>
      <c r="I7" s="15">
        <f t="shared" si="1"/>
        <v>-0.45454545454545459</v>
      </c>
      <c r="J7" s="26">
        <v>238</v>
      </c>
      <c r="K7" s="26">
        <v>221</v>
      </c>
      <c r="L7" s="26">
        <v>259</v>
      </c>
      <c r="M7" s="22">
        <f t="shared" si="2"/>
        <v>0.17194570135746612</v>
      </c>
      <c r="N7" s="13">
        <f t="shared" si="0"/>
        <v>295</v>
      </c>
      <c r="O7" s="13">
        <f t="shared" si="0"/>
        <v>234</v>
      </c>
      <c r="P7" s="13">
        <f t="shared" si="0"/>
        <v>267</v>
      </c>
      <c r="Q7" s="15">
        <f t="shared" si="3"/>
        <v>0.14102564102564097</v>
      </c>
    </row>
    <row r="8" spans="1:17" s="40" customFormat="1" ht="12" customHeight="1" thickBot="1" x14ac:dyDescent="0.25">
      <c r="A8" s="27" t="s">
        <v>0</v>
      </c>
      <c r="B8" s="23">
        <f>SUM(B5:B7)</f>
        <v>145</v>
      </c>
      <c r="C8" s="16">
        <f t="shared" ref="C8:D8" si="5">SUM(C5:C7)</f>
        <v>105</v>
      </c>
      <c r="D8" s="16">
        <f t="shared" si="5"/>
        <v>76</v>
      </c>
      <c r="E8" s="24">
        <f t="shared" ref="E8" si="6">D8/C8-1</f>
        <v>-0.27619047619047621</v>
      </c>
      <c r="F8" s="16">
        <f t="shared" ref="F8:H8" si="7">SUM(F5:F7)</f>
        <v>418</v>
      </c>
      <c r="G8" s="16">
        <f t="shared" si="7"/>
        <v>366</v>
      </c>
      <c r="H8" s="16">
        <f t="shared" si="7"/>
        <v>425</v>
      </c>
      <c r="I8" s="17">
        <f t="shared" ref="I8" si="8">H8/G8-1</f>
        <v>0.16120218579234979</v>
      </c>
      <c r="J8" s="23">
        <f t="shared" ref="J8:L8" si="9">SUM(J5:J7)</f>
        <v>10667</v>
      </c>
      <c r="K8" s="16">
        <f t="shared" si="9"/>
        <v>9201</v>
      </c>
      <c r="L8" s="16">
        <f t="shared" si="9"/>
        <v>9497</v>
      </c>
      <c r="M8" s="24">
        <f t="shared" ref="M8" si="10">L8/K8-1</f>
        <v>3.217041625910233E-2</v>
      </c>
      <c r="N8" s="16">
        <f t="shared" ref="N8:P8" si="11">SUM(N5:N7)</f>
        <v>11230</v>
      </c>
      <c r="O8" s="16">
        <f t="shared" si="11"/>
        <v>9672</v>
      </c>
      <c r="P8" s="16">
        <f t="shared" si="11"/>
        <v>9998</v>
      </c>
      <c r="Q8" s="17">
        <f t="shared" ref="Q8" si="12">P8/O8-1</f>
        <v>3.3705541770057801E-2</v>
      </c>
    </row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8:H8 N8:Q8" formulaRange="1"/>
    <ignoredError sqref="I8:M8" formula="1" formulaRange="1"/>
  </ignoredError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17BB-AE58-4B2C-91AA-6ABA46184C49}">
  <sheetPr codeName="Planilha35"/>
  <dimension ref="A1:F34"/>
  <sheetViews>
    <sheetView showGridLines="0" zoomScale="120" zoomScaleNormal="120" workbookViewId="0">
      <selection activeCell="G1" sqref="G1"/>
    </sheetView>
  </sheetViews>
  <sheetFormatPr defaultColWidth="9.109375" defaultRowHeight="14.4" x14ac:dyDescent="0.3"/>
  <cols>
    <col min="1" max="1" width="15.6640625" style="37" customWidth="1"/>
    <col min="2" max="4" width="7.6640625" style="37" customWidth="1"/>
    <col min="5" max="5" width="16.33203125" style="37" customWidth="1"/>
    <col min="6" max="24" width="5.6640625" style="37" customWidth="1"/>
    <col min="25" max="16384" width="9.109375" style="37"/>
  </cols>
  <sheetData>
    <row r="1" spans="1:6" ht="19.95" customHeight="1" x14ac:dyDescent="0.3">
      <c r="A1" s="1" t="s">
        <v>360</v>
      </c>
      <c r="B1" s="36"/>
      <c r="C1" s="36"/>
      <c r="D1" s="36"/>
      <c r="E1" s="36"/>
      <c r="F1" s="36"/>
    </row>
    <row r="2" spans="1:6" s="40" customFormat="1" ht="25.2" customHeight="1" thickBot="1" x14ac:dyDescent="0.25"/>
    <row r="3" spans="1:6" s="40" customFormat="1" ht="19.95" customHeight="1" thickBot="1" x14ac:dyDescent="0.25">
      <c r="A3" s="133" t="s">
        <v>112</v>
      </c>
      <c r="B3" s="99" t="s">
        <v>50</v>
      </c>
      <c r="C3" s="100" t="s">
        <v>51</v>
      </c>
      <c r="D3" s="99" t="s">
        <v>52</v>
      </c>
      <c r="E3" s="100" t="s">
        <v>113</v>
      </c>
    </row>
    <row r="4" spans="1:6" s="40" customFormat="1" ht="13.2" customHeight="1" x14ac:dyDescent="0.2">
      <c r="A4" s="101">
        <v>2019</v>
      </c>
      <c r="B4" s="200">
        <v>145</v>
      </c>
      <c r="C4" s="93">
        <v>418</v>
      </c>
      <c r="D4" s="203">
        <v>10667</v>
      </c>
      <c r="E4" s="94">
        <f>B4+C4+D4</f>
        <v>11230</v>
      </c>
    </row>
    <row r="5" spans="1:6" s="40" customFormat="1" ht="12" customHeight="1" x14ac:dyDescent="0.2">
      <c r="A5" s="101">
        <v>2020</v>
      </c>
      <c r="B5" s="201">
        <v>78</v>
      </c>
      <c r="C5" s="95">
        <v>311</v>
      </c>
      <c r="D5" s="204">
        <v>6636</v>
      </c>
      <c r="E5" s="94">
        <f t="shared" ref="E5:E9" si="0">B5+C5+D5</f>
        <v>7025</v>
      </c>
    </row>
    <row r="6" spans="1:6" s="40" customFormat="1" ht="12" customHeight="1" x14ac:dyDescent="0.2">
      <c r="A6" s="101">
        <v>2021</v>
      </c>
      <c r="B6" s="201">
        <v>83</v>
      </c>
      <c r="C6" s="95">
        <v>364</v>
      </c>
      <c r="D6" s="204">
        <v>7717</v>
      </c>
      <c r="E6" s="94">
        <f t="shared" si="0"/>
        <v>8164</v>
      </c>
    </row>
    <row r="7" spans="1:6" s="40" customFormat="1" ht="12" customHeight="1" x14ac:dyDescent="0.2">
      <c r="A7" s="101">
        <v>2022</v>
      </c>
      <c r="B7" s="201">
        <v>107</v>
      </c>
      <c r="C7" s="95">
        <v>414</v>
      </c>
      <c r="D7" s="204">
        <v>8573</v>
      </c>
      <c r="E7" s="94">
        <f t="shared" si="0"/>
        <v>9094</v>
      </c>
    </row>
    <row r="8" spans="1:6" s="40" customFormat="1" ht="12" customHeight="1" x14ac:dyDescent="0.2">
      <c r="A8" s="101">
        <v>2023</v>
      </c>
      <c r="B8" s="201">
        <v>105</v>
      </c>
      <c r="C8" s="95">
        <v>366</v>
      </c>
      <c r="D8" s="204">
        <v>9201</v>
      </c>
      <c r="E8" s="94">
        <v>9672</v>
      </c>
    </row>
    <row r="9" spans="1:6" s="40" customFormat="1" ht="12" customHeight="1" thickBot="1" x14ac:dyDescent="0.25">
      <c r="A9" s="102">
        <v>2024</v>
      </c>
      <c r="B9" s="202">
        <v>76</v>
      </c>
      <c r="C9" s="158">
        <v>425</v>
      </c>
      <c r="D9" s="205">
        <v>9497</v>
      </c>
      <c r="E9" s="103">
        <f t="shared" si="0"/>
        <v>9998</v>
      </c>
    </row>
    <row r="10" spans="1:6" s="40" customFormat="1" ht="12" customHeight="1" x14ac:dyDescent="0.2"/>
    <row r="11" spans="1:6" s="40" customFormat="1" ht="12" customHeight="1" x14ac:dyDescent="0.2"/>
    <row r="12" spans="1:6" s="40" customFormat="1" ht="12" customHeight="1" x14ac:dyDescent="0.2"/>
    <row r="13" spans="1:6" s="40" customFormat="1" ht="12" customHeight="1" x14ac:dyDescent="0.2"/>
    <row r="14" spans="1:6" s="40" customFormat="1" ht="12" customHeight="1" x14ac:dyDescent="0.2"/>
    <row r="15" spans="1:6" s="40" customFormat="1" ht="12" customHeight="1" x14ac:dyDescent="0.2"/>
    <row r="16" spans="1:6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s="40" customFormat="1" ht="12" customHeight="1" x14ac:dyDescent="0.2"/>
    <row r="31" ht="12" customHeight="1" x14ac:dyDescent="0.3"/>
    <row r="32" ht="12" customHeight="1" x14ac:dyDescent="0.3"/>
    <row r="33" ht="12" customHeight="1" x14ac:dyDescent="0.3"/>
    <row r="34" ht="12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3163-BA9D-4010-9150-465851939ECC}">
  <sheetPr codeName="Planilha36"/>
  <dimension ref="A1:Q33"/>
  <sheetViews>
    <sheetView showGridLines="0" zoomScale="120" zoomScaleNormal="120" workbookViewId="0">
      <selection activeCell="G1" sqref="G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193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48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2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3" t="s">
        <v>352</v>
      </c>
      <c r="J4" s="142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264</v>
      </c>
      <c r="B5" s="26">
        <v>11</v>
      </c>
      <c r="C5" s="26">
        <v>8</v>
      </c>
      <c r="D5" s="26">
        <v>4</v>
      </c>
      <c r="E5" s="22">
        <f t="shared" ref="E5:E16" si="0">D5/C5-1</f>
        <v>-0.5</v>
      </c>
      <c r="F5" s="26">
        <v>20</v>
      </c>
      <c r="G5" s="26">
        <v>31</v>
      </c>
      <c r="H5" s="26">
        <v>21</v>
      </c>
      <c r="I5" s="15">
        <f t="shared" ref="I5:I16" si="1">H5/G5-1</f>
        <v>-0.32258064516129037</v>
      </c>
      <c r="J5" s="26">
        <v>804</v>
      </c>
      <c r="K5" s="26">
        <v>675</v>
      </c>
      <c r="L5" s="26">
        <v>662</v>
      </c>
      <c r="M5" s="22">
        <f t="shared" ref="M5:M16" si="2">L5/K5-1</f>
        <v>-1.9259259259259309E-2</v>
      </c>
      <c r="N5" s="68">
        <f>B5+F5+J5</f>
        <v>835</v>
      </c>
      <c r="O5" s="68">
        <f t="shared" ref="O5:O16" si="3">C5+G5+K5</f>
        <v>714</v>
      </c>
      <c r="P5" s="68">
        <f t="shared" ref="P5:P16" si="4">D5+H5+L5</f>
        <v>687</v>
      </c>
      <c r="Q5" s="81">
        <f t="shared" ref="Q5:Q16" si="5">P5/O5-1</f>
        <v>-3.7815126050420145E-2</v>
      </c>
    </row>
    <row r="6" spans="1:17" s="40" customFormat="1" ht="12" customHeight="1" x14ac:dyDescent="0.2">
      <c r="A6" s="25" t="s">
        <v>265</v>
      </c>
      <c r="B6" s="26">
        <v>6</v>
      </c>
      <c r="C6" s="26">
        <v>9</v>
      </c>
      <c r="D6" s="26">
        <v>6</v>
      </c>
      <c r="E6" s="22">
        <f t="shared" si="0"/>
        <v>-0.33333333333333337</v>
      </c>
      <c r="F6" s="26">
        <v>20</v>
      </c>
      <c r="G6" s="26">
        <v>15</v>
      </c>
      <c r="H6" s="26">
        <v>18</v>
      </c>
      <c r="I6" s="15">
        <f t="shared" si="1"/>
        <v>0.19999999999999996</v>
      </c>
      <c r="J6" s="26">
        <v>637</v>
      </c>
      <c r="K6" s="26">
        <v>575</v>
      </c>
      <c r="L6" s="26">
        <v>681</v>
      </c>
      <c r="M6" s="22">
        <f t="shared" si="2"/>
        <v>0.18434782608695643</v>
      </c>
      <c r="N6" s="13">
        <f t="shared" ref="N6:N16" si="6">B6+F6+J6</f>
        <v>663</v>
      </c>
      <c r="O6" s="13">
        <f t="shared" si="3"/>
        <v>599</v>
      </c>
      <c r="P6" s="13">
        <f t="shared" si="4"/>
        <v>705</v>
      </c>
      <c r="Q6" s="15">
        <f t="shared" si="5"/>
        <v>0.17696160267111849</v>
      </c>
    </row>
    <row r="7" spans="1:17" s="40" customFormat="1" ht="12" customHeight="1" x14ac:dyDescent="0.2">
      <c r="A7" s="25" t="s">
        <v>266</v>
      </c>
      <c r="B7" s="26">
        <v>5</v>
      </c>
      <c r="C7" s="26">
        <v>6</v>
      </c>
      <c r="D7" s="26">
        <v>7</v>
      </c>
      <c r="E7" s="22">
        <f t="shared" si="0"/>
        <v>0.16666666666666674</v>
      </c>
      <c r="F7" s="26">
        <v>33</v>
      </c>
      <c r="G7" s="26">
        <v>22</v>
      </c>
      <c r="H7" s="26">
        <v>22</v>
      </c>
      <c r="I7" s="15">
        <f t="shared" si="1"/>
        <v>0</v>
      </c>
      <c r="J7" s="26">
        <v>866</v>
      </c>
      <c r="K7" s="26">
        <v>655</v>
      </c>
      <c r="L7" s="26">
        <v>691</v>
      </c>
      <c r="M7" s="22">
        <f t="shared" si="2"/>
        <v>5.4961832061068749E-2</v>
      </c>
      <c r="N7" s="13">
        <f t="shared" si="6"/>
        <v>904</v>
      </c>
      <c r="O7" s="13">
        <f t="shared" si="3"/>
        <v>683</v>
      </c>
      <c r="P7" s="13">
        <f t="shared" si="4"/>
        <v>720</v>
      </c>
      <c r="Q7" s="15">
        <f t="shared" si="5"/>
        <v>5.4172767203513938E-2</v>
      </c>
    </row>
    <row r="8" spans="1:17" s="40" customFormat="1" ht="12" customHeight="1" x14ac:dyDescent="0.2">
      <c r="A8" s="25" t="s">
        <v>267</v>
      </c>
      <c r="B8" s="26">
        <v>35</v>
      </c>
      <c r="C8" s="26">
        <v>13</v>
      </c>
      <c r="D8" s="26">
        <v>5</v>
      </c>
      <c r="E8" s="22">
        <f t="shared" si="0"/>
        <v>-0.61538461538461542</v>
      </c>
      <c r="F8" s="26">
        <v>39</v>
      </c>
      <c r="G8" s="26">
        <v>39</v>
      </c>
      <c r="H8" s="26">
        <v>44</v>
      </c>
      <c r="I8" s="15">
        <f t="shared" si="1"/>
        <v>0.12820512820512819</v>
      </c>
      <c r="J8" s="26">
        <v>859</v>
      </c>
      <c r="K8" s="26">
        <v>766</v>
      </c>
      <c r="L8" s="26">
        <v>692</v>
      </c>
      <c r="M8" s="22">
        <f t="shared" si="2"/>
        <v>-9.6605744125326409E-2</v>
      </c>
      <c r="N8" s="13">
        <f t="shared" si="6"/>
        <v>933</v>
      </c>
      <c r="O8" s="13">
        <f t="shared" si="3"/>
        <v>818</v>
      </c>
      <c r="P8" s="13">
        <f t="shared" si="4"/>
        <v>741</v>
      </c>
      <c r="Q8" s="15">
        <f t="shared" si="5"/>
        <v>-9.4132029339853318E-2</v>
      </c>
    </row>
    <row r="9" spans="1:17" s="40" customFormat="1" ht="12" customHeight="1" x14ac:dyDescent="0.2">
      <c r="A9" s="25" t="s">
        <v>268</v>
      </c>
      <c r="B9" s="26">
        <v>12</v>
      </c>
      <c r="C9" s="26">
        <v>2</v>
      </c>
      <c r="D9" s="26">
        <v>3</v>
      </c>
      <c r="E9" s="22">
        <f t="shared" si="0"/>
        <v>0.5</v>
      </c>
      <c r="F9" s="26">
        <v>31</v>
      </c>
      <c r="G9" s="26">
        <v>21</v>
      </c>
      <c r="H9" s="26">
        <v>30</v>
      </c>
      <c r="I9" s="15">
        <f t="shared" si="1"/>
        <v>0.4285714285714286</v>
      </c>
      <c r="J9" s="26">
        <v>830</v>
      </c>
      <c r="K9" s="26">
        <v>716</v>
      </c>
      <c r="L9" s="26">
        <v>793</v>
      </c>
      <c r="M9" s="22">
        <f t="shared" si="2"/>
        <v>0.10754189944134085</v>
      </c>
      <c r="N9" s="13">
        <f t="shared" si="6"/>
        <v>873</v>
      </c>
      <c r="O9" s="13">
        <f t="shared" si="3"/>
        <v>739</v>
      </c>
      <c r="P9" s="13">
        <f t="shared" si="4"/>
        <v>826</v>
      </c>
      <c r="Q9" s="15">
        <f t="shared" si="5"/>
        <v>0.11772665764546675</v>
      </c>
    </row>
    <row r="10" spans="1:17" s="40" customFormat="1" ht="12" customHeight="1" x14ac:dyDescent="0.2">
      <c r="A10" s="25" t="s">
        <v>269</v>
      </c>
      <c r="B10" s="26">
        <v>7</v>
      </c>
      <c r="C10" s="26">
        <v>5</v>
      </c>
      <c r="D10" s="26">
        <v>5</v>
      </c>
      <c r="E10" s="22">
        <f t="shared" si="0"/>
        <v>0</v>
      </c>
      <c r="F10" s="26">
        <v>39</v>
      </c>
      <c r="G10" s="26">
        <v>29</v>
      </c>
      <c r="H10" s="26">
        <v>43</v>
      </c>
      <c r="I10" s="15">
        <f t="shared" si="1"/>
        <v>0.48275862068965525</v>
      </c>
      <c r="J10" s="26">
        <v>877</v>
      </c>
      <c r="K10" s="26">
        <v>743</v>
      </c>
      <c r="L10" s="26">
        <v>788</v>
      </c>
      <c r="M10" s="22">
        <f t="shared" si="2"/>
        <v>6.0565275908479155E-2</v>
      </c>
      <c r="N10" s="13">
        <f t="shared" si="6"/>
        <v>923</v>
      </c>
      <c r="O10" s="13">
        <f t="shared" si="3"/>
        <v>777</v>
      </c>
      <c r="P10" s="13">
        <f t="shared" si="4"/>
        <v>836</v>
      </c>
      <c r="Q10" s="15">
        <f t="shared" si="5"/>
        <v>7.5933075933075855E-2</v>
      </c>
    </row>
    <row r="11" spans="1:17" s="40" customFormat="1" ht="12" customHeight="1" x14ac:dyDescent="0.2">
      <c r="A11" s="25" t="s">
        <v>270</v>
      </c>
      <c r="B11" s="26">
        <v>10</v>
      </c>
      <c r="C11" s="26">
        <v>16</v>
      </c>
      <c r="D11" s="26">
        <v>9</v>
      </c>
      <c r="E11" s="22">
        <f t="shared" si="0"/>
        <v>-0.4375</v>
      </c>
      <c r="F11" s="26">
        <v>43</v>
      </c>
      <c r="G11" s="26">
        <v>39</v>
      </c>
      <c r="H11" s="26">
        <v>40</v>
      </c>
      <c r="I11" s="15">
        <f t="shared" si="1"/>
        <v>2.564102564102555E-2</v>
      </c>
      <c r="J11" s="26">
        <v>962</v>
      </c>
      <c r="K11" s="26">
        <v>973</v>
      </c>
      <c r="L11" s="26">
        <v>892</v>
      </c>
      <c r="M11" s="22">
        <f t="shared" si="2"/>
        <v>-8.3247687564234285E-2</v>
      </c>
      <c r="N11" s="13">
        <f t="shared" si="6"/>
        <v>1015</v>
      </c>
      <c r="O11" s="13">
        <f t="shared" si="3"/>
        <v>1028</v>
      </c>
      <c r="P11" s="13">
        <f t="shared" si="4"/>
        <v>941</v>
      </c>
      <c r="Q11" s="15">
        <f t="shared" si="5"/>
        <v>-8.4630350194552562E-2</v>
      </c>
    </row>
    <row r="12" spans="1:17" s="40" customFormat="1" ht="12" customHeight="1" x14ac:dyDescent="0.2">
      <c r="A12" s="25" t="s">
        <v>271</v>
      </c>
      <c r="B12" s="26">
        <v>16</v>
      </c>
      <c r="C12" s="26">
        <v>16</v>
      </c>
      <c r="D12" s="26">
        <v>9</v>
      </c>
      <c r="E12" s="22">
        <f t="shared" si="0"/>
        <v>-0.4375</v>
      </c>
      <c r="F12" s="26">
        <v>70</v>
      </c>
      <c r="G12" s="26">
        <v>55</v>
      </c>
      <c r="H12" s="26">
        <v>51</v>
      </c>
      <c r="I12" s="15">
        <f t="shared" si="1"/>
        <v>-7.2727272727272751E-2</v>
      </c>
      <c r="J12" s="13">
        <v>1212</v>
      </c>
      <c r="K12" s="13">
        <v>1029</v>
      </c>
      <c r="L12" s="13">
        <v>1000</v>
      </c>
      <c r="M12" s="22">
        <f t="shared" si="2"/>
        <v>-2.8182701652089359E-2</v>
      </c>
      <c r="N12" s="13">
        <f t="shared" si="6"/>
        <v>1298</v>
      </c>
      <c r="O12" s="13">
        <f t="shared" si="3"/>
        <v>1100</v>
      </c>
      <c r="P12" s="13">
        <f t="shared" si="4"/>
        <v>1060</v>
      </c>
      <c r="Q12" s="15">
        <f t="shared" si="5"/>
        <v>-3.6363636363636376E-2</v>
      </c>
    </row>
    <row r="13" spans="1:17" s="40" customFormat="1" ht="12" customHeight="1" x14ac:dyDescent="0.2">
      <c r="A13" s="25" t="s">
        <v>272</v>
      </c>
      <c r="B13" s="26">
        <v>18</v>
      </c>
      <c r="C13" s="26">
        <v>16</v>
      </c>
      <c r="D13" s="26">
        <v>11</v>
      </c>
      <c r="E13" s="22">
        <f t="shared" si="0"/>
        <v>-0.3125</v>
      </c>
      <c r="F13" s="26">
        <v>41</v>
      </c>
      <c r="G13" s="26">
        <v>33</v>
      </c>
      <c r="H13" s="26">
        <v>44</v>
      </c>
      <c r="I13" s="15">
        <f t="shared" si="1"/>
        <v>0.33333333333333326</v>
      </c>
      <c r="J13" s="26">
        <v>982</v>
      </c>
      <c r="K13" s="26">
        <v>831</v>
      </c>
      <c r="L13" s="26">
        <v>879</v>
      </c>
      <c r="M13" s="22">
        <f t="shared" si="2"/>
        <v>5.7761732851985492E-2</v>
      </c>
      <c r="N13" s="13">
        <f t="shared" si="6"/>
        <v>1041</v>
      </c>
      <c r="O13" s="13">
        <f t="shared" si="3"/>
        <v>880</v>
      </c>
      <c r="P13" s="13">
        <f t="shared" si="4"/>
        <v>934</v>
      </c>
      <c r="Q13" s="15">
        <f t="shared" si="5"/>
        <v>6.1363636363636287E-2</v>
      </c>
    </row>
    <row r="14" spans="1:17" s="40" customFormat="1" ht="12" customHeight="1" x14ac:dyDescent="0.2">
      <c r="A14" s="25" t="s">
        <v>273</v>
      </c>
      <c r="B14" s="26">
        <v>14</v>
      </c>
      <c r="C14" s="26">
        <v>3</v>
      </c>
      <c r="D14" s="26">
        <v>4</v>
      </c>
      <c r="E14" s="22">
        <f t="shared" si="0"/>
        <v>0.33333333333333326</v>
      </c>
      <c r="F14" s="26">
        <v>25</v>
      </c>
      <c r="G14" s="26">
        <v>25</v>
      </c>
      <c r="H14" s="26">
        <v>38</v>
      </c>
      <c r="I14" s="15">
        <f t="shared" si="1"/>
        <v>0.52</v>
      </c>
      <c r="J14" s="26">
        <v>859</v>
      </c>
      <c r="K14" s="26">
        <v>769</v>
      </c>
      <c r="L14" s="26">
        <v>868</v>
      </c>
      <c r="M14" s="22">
        <f t="shared" si="2"/>
        <v>0.12873862158647587</v>
      </c>
      <c r="N14" s="13">
        <f t="shared" si="6"/>
        <v>898</v>
      </c>
      <c r="O14" s="13">
        <f t="shared" si="3"/>
        <v>797</v>
      </c>
      <c r="P14" s="13">
        <f t="shared" si="4"/>
        <v>910</v>
      </c>
      <c r="Q14" s="15">
        <f t="shared" si="5"/>
        <v>0.14178168130489333</v>
      </c>
    </row>
    <row r="15" spans="1:17" s="40" customFormat="1" ht="12" customHeight="1" x14ac:dyDescent="0.2">
      <c r="A15" s="25" t="s">
        <v>274</v>
      </c>
      <c r="B15" s="26">
        <v>7</v>
      </c>
      <c r="C15" s="26">
        <v>2</v>
      </c>
      <c r="D15" s="26">
        <v>7</v>
      </c>
      <c r="E15" s="22">
        <f t="shared" si="0"/>
        <v>2.5</v>
      </c>
      <c r="F15" s="26">
        <v>25</v>
      </c>
      <c r="G15" s="26">
        <v>23</v>
      </c>
      <c r="H15" s="26">
        <v>46</v>
      </c>
      <c r="I15" s="15">
        <f t="shared" si="1"/>
        <v>1</v>
      </c>
      <c r="J15" s="26">
        <v>898</v>
      </c>
      <c r="K15" s="26">
        <v>726</v>
      </c>
      <c r="L15" s="26">
        <v>751</v>
      </c>
      <c r="M15" s="22">
        <f t="shared" si="2"/>
        <v>3.4435261707989051E-2</v>
      </c>
      <c r="N15" s="13">
        <f t="shared" si="6"/>
        <v>930</v>
      </c>
      <c r="O15" s="13">
        <f t="shared" si="3"/>
        <v>751</v>
      </c>
      <c r="P15" s="13">
        <f t="shared" si="4"/>
        <v>804</v>
      </c>
      <c r="Q15" s="15">
        <f t="shared" si="5"/>
        <v>7.057256990679095E-2</v>
      </c>
    </row>
    <row r="16" spans="1:17" s="40" customFormat="1" ht="12" customHeight="1" x14ac:dyDescent="0.2">
      <c r="A16" s="25" t="s">
        <v>275</v>
      </c>
      <c r="B16" s="26">
        <v>4</v>
      </c>
      <c r="C16" s="26">
        <v>9</v>
      </c>
      <c r="D16" s="26">
        <v>6</v>
      </c>
      <c r="E16" s="22">
        <f t="shared" si="0"/>
        <v>-0.33333333333333337</v>
      </c>
      <c r="F16" s="26">
        <v>32</v>
      </c>
      <c r="G16" s="26">
        <v>34</v>
      </c>
      <c r="H16" s="26">
        <v>28</v>
      </c>
      <c r="I16" s="15">
        <f t="shared" si="1"/>
        <v>-0.17647058823529416</v>
      </c>
      <c r="J16" s="26">
        <v>881</v>
      </c>
      <c r="K16" s="26">
        <v>743</v>
      </c>
      <c r="L16" s="26">
        <v>800</v>
      </c>
      <c r="M16" s="22">
        <f t="shared" si="2"/>
        <v>7.6716016150740307E-2</v>
      </c>
      <c r="N16" s="13">
        <f t="shared" si="6"/>
        <v>917</v>
      </c>
      <c r="O16" s="13">
        <f t="shared" si="3"/>
        <v>786</v>
      </c>
      <c r="P16" s="13">
        <f t="shared" si="4"/>
        <v>834</v>
      </c>
      <c r="Q16" s="15">
        <f t="shared" si="5"/>
        <v>6.1068702290076438E-2</v>
      </c>
    </row>
    <row r="17" spans="1:17" s="40" customFormat="1" ht="12" customHeight="1" thickBot="1" x14ac:dyDescent="0.25">
      <c r="A17" s="27" t="s">
        <v>0</v>
      </c>
      <c r="B17" s="23">
        <f>SUM(B5:B16)</f>
        <v>145</v>
      </c>
      <c r="C17" s="16">
        <f t="shared" ref="C17:D17" si="7">SUM(C5:C16)</f>
        <v>105</v>
      </c>
      <c r="D17" s="16">
        <f t="shared" si="7"/>
        <v>76</v>
      </c>
      <c r="E17" s="24">
        <f>D17/C17-1</f>
        <v>-0.27619047619047621</v>
      </c>
      <c r="F17" s="16">
        <f t="shared" ref="F17:H17" si="8">SUM(F5:F16)</f>
        <v>418</v>
      </c>
      <c r="G17" s="16">
        <f t="shared" si="8"/>
        <v>366</v>
      </c>
      <c r="H17" s="16">
        <f t="shared" si="8"/>
        <v>425</v>
      </c>
      <c r="I17" s="17">
        <f>H17/G17-1</f>
        <v>0.16120218579234979</v>
      </c>
      <c r="J17" s="23">
        <f t="shared" ref="J17:L17" si="9">SUM(J5:J16)</f>
        <v>10667</v>
      </c>
      <c r="K17" s="16">
        <f t="shared" si="9"/>
        <v>9201</v>
      </c>
      <c r="L17" s="16">
        <f t="shared" si="9"/>
        <v>9497</v>
      </c>
      <c r="M17" s="24">
        <f>L17/K17-1</f>
        <v>3.217041625910233E-2</v>
      </c>
      <c r="N17" s="16">
        <f t="shared" ref="N17:P17" si="10">SUM(N5:N16)</f>
        <v>11230</v>
      </c>
      <c r="O17" s="16">
        <f t="shared" si="10"/>
        <v>9672</v>
      </c>
      <c r="P17" s="16">
        <f t="shared" si="10"/>
        <v>9998</v>
      </c>
      <c r="Q17" s="17">
        <f>P17/O17-1</f>
        <v>3.3705541770057801E-2</v>
      </c>
    </row>
    <row r="18" spans="1:17" s="40" customFormat="1" ht="12" customHeight="1" x14ac:dyDescent="0.2"/>
    <row r="19" spans="1:17" s="40" customFormat="1" ht="12" customHeight="1" x14ac:dyDescent="0.2"/>
    <row r="20" spans="1:17" s="40" customFormat="1" ht="12" customHeight="1" x14ac:dyDescent="0.2"/>
    <row r="21" spans="1:17" s="40" customFormat="1" ht="12" customHeight="1" x14ac:dyDescent="0.2"/>
    <row r="22" spans="1:17" s="40" customFormat="1" ht="12" customHeight="1" x14ac:dyDescent="0.2"/>
    <row r="23" spans="1:17" s="40" customFormat="1" ht="12" customHeight="1" x14ac:dyDescent="0.2"/>
    <row r="24" spans="1:17" s="40" customFormat="1" ht="12" customHeight="1" x14ac:dyDescent="0.2"/>
    <row r="25" spans="1:17" s="40" customFormat="1" ht="12" customHeight="1" x14ac:dyDescent="0.2"/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7:H17 N17:Q17" formulaRange="1"/>
    <ignoredError sqref="I17:M17" formula="1" formulaRange="1"/>
  </ignoredError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CFEB-7E07-4FE4-AF6C-2504EFAD81DC}">
  <sheetPr codeName="Planilha37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194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59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339</v>
      </c>
      <c r="B5" s="26">
        <v>13</v>
      </c>
      <c r="C5" s="26">
        <v>14</v>
      </c>
      <c r="D5" s="26">
        <v>5</v>
      </c>
      <c r="E5" s="22">
        <f t="shared" ref="E5:E11" si="0">D5/C5-1</f>
        <v>-0.64285714285714279</v>
      </c>
      <c r="F5" s="26">
        <v>34</v>
      </c>
      <c r="G5" s="26">
        <v>47</v>
      </c>
      <c r="H5" s="26">
        <v>42</v>
      </c>
      <c r="I5" s="15">
        <f t="shared" ref="I5:I11" si="1">H5/G5-1</f>
        <v>-0.1063829787234043</v>
      </c>
      <c r="J5" s="13">
        <v>1377</v>
      </c>
      <c r="K5" s="13">
        <v>1172</v>
      </c>
      <c r="L5" s="13">
        <v>1242</v>
      </c>
      <c r="M5" s="22">
        <f t="shared" ref="M5:M11" si="2">L5/K5-1</f>
        <v>5.9726962457337773E-2</v>
      </c>
      <c r="N5" s="13">
        <f t="shared" ref="N5:P11" si="3">B5+F5+J5</f>
        <v>1424</v>
      </c>
      <c r="O5" s="68">
        <f t="shared" si="3"/>
        <v>1233</v>
      </c>
      <c r="P5" s="68">
        <f t="shared" si="3"/>
        <v>1289</v>
      </c>
      <c r="Q5" s="81">
        <f t="shared" ref="Q5:Q11" si="4">P5/O5-1</f>
        <v>4.5417680454176823E-2</v>
      </c>
    </row>
    <row r="6" spans="1:17" s="40" customFormat="1" ht="12" customHeight="1" x14ac:dyDescent="0.2">
      <c r="A6" s="25" t="s">
        <v>340</v>
      </c>
      <c r="B6" s="26">
        <v>14</v>
      </c>
      <c r="C6" s="26">
        <v>9</v>
      </c>
      <c r="D6" s="26">
        <v>10</v>
      </c>
      <c r="E6" s="22">
        <f t="shared" si="0"/>
        <v>0.11111111111111116</v>
      </c>
      <c r="F6" s="26">
        <v>53</v>
      </c>
      <c r="G6" s="26">
        <v>37</v>
      </c>
      <c r="H6" s="26">
        <v>48</v>
      </c>
      <c r="I6" s="15">
        <f t="shared" si="1"/>
        <v>0.29729729729729737</v>
      </c>
      <c r="J6" s="13">
        <v>1384</v>
      </c>
      <c r="K6" s="13">
        <v>1107</v>
      </c>
      <c r="L6" s="13">
        <v>1212</v>
      </c>
      <c r="M6" s="22">
        <f t="shared" si="2"/>
        <v>9.4850948509485056E-2</v>
      </c>
      <c r="N6" s="13">
        <f t="shared" si="3"/>
        <v>1451</v>
      </c>
      <c r="O6" s="13">
        <f t="shared" si="3"/>
        <v>1153</v>
      </c>
      <c r="P6" s="13">
        <f t="shared" si="3"/>
        <v>1270</v>
      </c>
      <c r="Q6" s="15">
        <f t="shared" si="4"/>
        <v>0.10147441457068518</v>
      </c>
    </row>
    <row r="7" spans="1:17" s="40" customFormat="1" ht="12" customHeight="1" x14ac:dyDescent="0.2">
      <c r="A7" s="25" t="s">
        <v>341</v>
      </c>
      <c r="B7" s="26">
        <v>44</v>
      </c>
      <c r="C7" s="26">
        <v>7</v>
      </c>
      <c r="D7" s="26">
        <v>7</v>
      </c>
      <c r="E7" s="22">
        <f t="shared" si="0"/>
        <v>0</v>
      </c>
      <c r="F7" s="26">
        <v>53</v>
      </c>
      <c r="G7" s="26">
        <v>39</v>
      </c>
      <c r="H7" s="26">
        <v>58</v>
      </c>
      <c r="I7" s="15">
        <f t="shared" si="1"/>
        <v>0.48717948717948723</v>
      </c>
      <c r="J7" s="13">
        <v>1355</v>
      </c>
      <c r="K7" s="13">
        <v>1121</v>
      </c>
      <c r="L7" s="13">
        <v>1193</v>
      </c>
      <c r="M7" s="22">
        <f t="shared" si="2"/>
        <v>6.4228367528992081E-2</v>
      </c>
      <c r="N7" s="13">
        <f t="shared" si="3"/>
        <v>1452</v>
      </c>
      <c r="O7" s="13">
        <f t="shared" si="3"/>
        <v>1167</v>
      </c>
      <c r="P7" s="13">
        <f t="shared" si="3"/>
        <v>1258</v>
      </c>
      <c r="Q7" s="15">
        <f t="shared" si="4"/>
        <v>7.7977720651242421E-2</v>
      </c>
    </row>
    <row r="8" spans="1:17" s="40" customFormat="1" ht="12" customHeight="1" x14ac:dyDescent="0.2">
      <c r="A8" s="25" t="s">
        <v>342</v>
      </c>
      <c r="B8" s="26">
        <v>8</v>
      </c>
      <c r="C8" s="26">
        <v>13</v>
      </c>
      <c r="D8" s="26">
        <v>14</v>
      </c>
      <c r="E8" s="22">
        <f t="shared" si="0"/>
        <v>7.6923076923076872E-2</v>
      </c>
      <c r="F8" s="26">
        <v>42</v>
      </c>
      <c r="G8" s="26">
        <v>38</v>
      </c>
      <c r="H8" s="26">
        <v>41</v>
      </c>
      <c r="I8" s="15">
        <f t="shared" si="1"/>
        <v>7.8947368421052655E-2</v>
      </c>
      <c r="J8" s="13">
        <v>1376</v>
      </c>
      <c r="K8" s="13">
        <v>1216</v>
      </c>
      <c r="L8" s="13">
        <v>1230</v>
      </c>
      <c r="M8" s="22">
        <f t="shared" si="2"/>
        <v>1.1513157894736947E-2</v>
      </c>
      <c r="N8" s="13">
        <f t="shared" si="3"/>
        <v>1426</v>
      </c>
      <c r="O8" s="13">
        <f t="shared" si="3"/>
        <v>1267</v>
      </c>
      <c r="P8" s="13">
        <f t="shared" si="3"/>
        <v>1285</v>
      </c>
      <c r="Q8" s="15">
        <f t="shared" si="4"/>
        <v>1.4206787687450761E-2</v>
      </c>
    </row>
    <row r="9" spans="1:17" s="40" customFormat="1" ht="12" customHeight="1" x14ac:dyDescent="0.2">
      <c r="A9" s="25" t="s">
        <v>343</v>
      </c>
      <c r="B9" s="26">
        <v>15</v>
      </c>
      <c r="C9" s="26">
        <v>16</v>
      </c>
      <c r="D9" s="26">
        <v>14</v>
      </c>
      <c r="E9" s="22">
        <f t="shared" si="0"/>
        <v>-0.125</v>
      </c>
      <c r="F9" s="26">
        <v>56</v>
      </c>
      <c r="G9" s="26">
        <v>40</v>
      </c>
      <c r="H9" s="26">
        <v>59</v>
      </c>
      <c r="I9" s="15">
        <f t="shared" si="1"/>
        <v>0.47500000000000009</v>
      </c>
      <c r="J9" s="13">
        <v>1490</v>
      </c>
      <c r="K9" s="13">
        <v>1346</v>
      </c>
      <c r="L9" s="13">
        <v>1356</v>
      </c>
      <c r="M9" s="22">
        <f t="shared" si="2"/>
        <v>7.429420505200568E-3</v>
      </c>
      <c r="N9" s="13">
        <f t="shared" si="3"/>
        <v>1561</v>
      </c>
      <c r="O9" s="13">
        <f t="shared" si="3"/>
        <v>1402</v>
      </c>
      <c r="P9" s="13">
        <f t="shared" si="3"/>
        <v>1429</v>
      </c>
      <c r="Q9" s="15">
        <f t="shared" si="4"/>
        <v>1.9258202567760341E-2</v>
      </c>
    </row>
    <row r="10" spans="1:17" s="40" customFormat="1" ht="12" customHeight="1" x14ac:dyDescent="0.2">
      <c r="A10" s="25" t="s">
        <v>53</v>
      </c>
      <c r="B10" s="26">
        <v>21</v>
      </c>
      <c r="C10" s="26">
        <v>25</v>
      </c>
      <c r="D10" s="26">
        <v>10</v>
      </c>
      <c r="E10" s="22">
        <f t="shared" si="0"/>
        <v>-0.6</v>
      </c>
      <c r="F10" s="26">
        <v>79</v>
      </c>
      <c r="G10" s="26">
        <v>90</v>
      </c>
      <c r="H10" s="26">
        <v>82</v>
      </c>
      <c r="I10" s="15">
        <f t="shared" si="1"/>
        <v>-8.8888888888888906E-2</v>
      </c>
      <c r="J10" s="13">
        <v>1803</v>
      </c>
      <c r="K10" s="13">
        <v>1590</v>
      </c>
      <c r="L10" s="13">
        <v>1549</v>
      </c>
      <c r="M10" s="22">
        <f t="shared" si="2"/>
        <v>-2.5786163522012573E-2</v>
      </c>
      <c r="N10" s="13">
        <f t="shared" si="3"/>
        <v>1903</v>
      </c>
      <c r="O10" s="13">
        <f t="shared" si="3"/>
        <v>1705</v>
      </c>
      <c r="P10" s="13">
        <f t="shared" si="3"/>
        <v>1641</v>
      </c>
      <c r="Q10" s="15">
        <f t="shared" si="4"/>
        <v>-3.7536656891495657E-2</v>
      </c>
    </row>
    <row r="11" spans="1:17" s="40" customFormat="1" ht="12" customHeight="1" x14ac:dyDescent="0.2">
      <c r="A11" s="25" t="s">
        <v>54</v>
      </c>
      <c r="B11" s="26">
        <v>30</v>
      </c>
      <c r="C11" s="26">
        <v>21</v>
      </c>
      <c r="D11" s="26">
        <v>16</v>
      </c>
      <c r="E11" s="22">
        <f t="shared" si="0"/>
        <v>-0.23809523809523814</v>
      </c>
      <c r="F11" s="26">
        <v>101</v>
      </c>
      <c r="G11" s="26">
        <v>75</v>
      </c>
      <c r="H11" s="26">
        <v>95</v>
      </c>
      <c r="I11" s="15">
        <f t="shared" si="1"/>
        <v>0.26666666666666661</v>
      </c>
      <c r="J11" s="13">
        <v>1882</v>
      </c>
      <c r="K11" s="13">
        <v>1649</v>
      </c>
      <c r="L11" s="13">
        <v>1715</v>
      </c>
      <c r="M11" s="22">
        <f t="shared" si="2"/>
        <v>4.0024257125530704E-2</v>
      </c>
      <c r="N11" s="13">
        <f t="shared" si="3"/>
        <v>2013</v>
      </c>
      <c r="O11" s="13">
        <f t="shared" si="3"/>
        <v>1745</v>
      </c>
      <c r="P11" s="13">
        <f t="shared" si="3"/>
        <v>1826</v>
      </c>
      <c r="Q11" s="15">
        <f t="shared" si="4"/>
        <v>4.6418338108882518E-2</v>
      </c>
    </row>
    <row r="12" spans="1:17" s="40" customFormat="1" ht="12" customHeight="1" thickBot="1" x14ac:dyDescent="0.25">
      <c r="A12" s="27" t="s">
        <v>0</v>
      </c>
      <c r="B12" s="23">
        <f>SUM(B5:B11)</f>
        <v>145</v>
      </c>
      <c r="C12" s="16">
        <f t="shared" ref="C12:D12" si="5">SUM(C5:C11)</f>
        <v>105</v>
      </c>
      <c r="D12" s="16">
        <f t="shared" si="5"/>
        <v>76</v>
      </c>
      <c r="E12" s="24">
        <f>D12/C12-1</f>
        <v>-0.27619047619047621</v>
      </c>
      <c r="F12" s="16">
        <f t="shared" ref="F12:H12" si="6">SUM(F5:F11)</f>
        <v>418</v>
      </c>
      <c r="G12" s="16">
        <f t="shared" si="6"/>
        <v>366</v>
      </c>
      <c r="H12" s="16">
        <f t="shared" si="6"/>
        <v>425</v>
      </c>
      <c r="I12" s="17">
        <f>H12/G12-1</f>
        <v>0.16120218579234979</v>
      </c>
      <c r="J12" s="23">
        <f t="shared" ref="J12:L12" si="7">SUM(J5:J11)</f>
        <v>10667</v>
      </c>
      <c r="K12" s="16">
        <f t="shared" si="7"/>
        <v>9201</v>
      </c>
      <c r="L12" s="16">
        <f t="shared" si="7"/>
        <v>9497</v>
      </c>
      <c r="M12" s="24">
        <f>L12/K12-1</f>
        <v>3.217041625910233E-2</v>
      </c>
      <c r="N12" s="16">
        <f t="shared" ref="N12:P12" si="8">SUM(N5:N11)</f>
        <v>11230</v>
      </c>
      <c r="O12" s="16">
        <f t="shared" si="8"/>
        <v>9672</v>
      </c>
      <c r="P12" s="16">
        <f t="shared" si="8"/>
        <v>9998</v>
      </c>
      <c r="Q12" s="17">
        <f>P12/O12-1</f>
        <v>3.3705541770057801E-2</v>
      </c>
    </row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12:H12 N12:R12" formulaRange="1"/>
    <ignoredError sqref="I12:M12" formula="1" formulaRange="1"/>
  </ignoredError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2063-929D-4317-8F1D-539166E41EE3}">
  <sheetPr codeName="Planilha38"/>
  <dimension ref="A1:Q34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195</v>
      </c>
      <c r="B1" s="36"/>
      <c r="C1" s="36"/>
      <c r="D1" s="36"/>
      <c r="E1" s="36"/>
      <c r="F1" s="36"/>
    </row>
    <row r="2" spans="1:17" s="40" customFormat="1" ht="25.2" customHeight="1" thickBot="1" x14ac:dyDescent="0.25"/>
    <row r="3" spans="1:17" s="40" customFormat="1" ht="13.95" customHeight="1" x14ac:dyDescent="0.2">
      <c r="A3" s="213" t="s">
        <v>60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225</v>
      </c>
      <c r="B5" s="26">
        <v>9</v>
      </c>
      <c r="C5" s="26">
        <v>8</v>
      </c>
      <c r="D5" s="26">
        <v>8</v>
      </c>
      <c r="E5" s="22">
        <f t="shared" ref="E5:E12" si="0">D5/C5-1</f>
        <v>0</v>
      </c>
      <c r="F5" s="26">
        <v>40</v>
      </c>
      <c r="G5" s="26">
        <v>34</v>
      </c>
      <c r="H5" s="26">
        <v>36</v>
      </c>
      <c r="I5" s="15">
        <f t="shared" ref="I5:I12" si="1">H5/G5-1</f>
        <v>5.8823529411764719E-2</v>
      </c>
      <c r="J5" s="26">
        <v>512</v>
      </c>
      <c r="K5" s="26">
        <v>477</v>
      </c>
      <c r="L5" s="26">
        <v>461</v>
      </c>
      <c r="M5" s="22">
        <f t="shared" ref="M5:M12" si="2">L5/K5-1</f>
        <v>-3.3542976939203384E-2</v>
      </c>
      <c r="N5" s="68">
        <f t="shared" ref="N5:P12" si="3">B5+F5+J5</f>
        <v>561</v>
      </c>
      <c r="O5" s="68">
        <f t="shared" si="3"/>
        <v>519</v>
      </c>
      <c r="P5" s="68">
        <f t="shared" si="3"/>
        <v>505</v>
      </c>
      <c r="Q5" s="81">
        <f t="shared" ref="Q5:Q12" si="4">P5/O5-1</f>
        <v>-2.6974951830443183E-2</v>
      </c>
    </row>
    <row r="6" spans="1:17" s="40" customFormat="1" ht="12" customHeight="1" x14ac:dyDescent="0.2">
      <c r="A6" s="25" t="s">
        <v>226</v>
      </c>
      <c r="B6" s="26">
        <v>8</v>
      </c>
      <c r="C6" s="26">
        <v>13</v>
      </c>
      <c r="D6" s="26">
        <v>6</v>
      </c>
      <c r="E6" s="22">
        <f t="shared" si="0"/>
        <v>-0.53846153846153844</v>
      </c>
      <c r="F6" s="26">
        <v>27</v>
      </c>
      <c r="G6" s="26">
        <v>27</v>
      </c>
      <c r="H6" s="26">
        <v>27</v>
      </c>
      <c r="I6" s="15">
        <f t="shared" si="1"/>
        <v>0</v>
      </c>
      <c r="J6" s="26">
        <v>295</v>
      </c>
      <c r="K6" s="26">
        <v>275</v>
      </c>
      <c r="L6" s="26">
        <v>237</v>
      </c>
      <c r="M6" s="22">
        <f t="shared" si="2"/>
        <v>-0.13818181818181818</v>
      </c>
      <c r="N6" s="13">
        <f t="shared" si="3"/>
        <v>330</v>
      </c>
      <c r="O6" s="13">
        <f t="shared" si="3"/>
        <v>315</v>
      </c>
      <c r="P6" s="13">
        <f t="shared" si="3"/>
        <v>270</v>
      </c>
      <c r="Q6" s="15">
        <f t="shared" si="4"/>
        <v>-0.1428571428571429</v>
      </c>
    </row>
    <row r="7" spans="1:17" s="40" customFormat="1" ht="12" customHeight="1" x14ac:dyDescent="0.2">
      <c r="A7" s="25" t="s">
        <v>227</v>
      </c>
      <c r="B7" s="26">
        <v>10</v>
      </c>
      <c r="C7" s="26">
        <v>12</v>
      </c>
      <c r="D7" s="26">
        <v>11</v>
      </c>
      <c r="E7" s="22">
        <f t="shared" si="0"/>
        <v>-8.333333333333337E-2</v>
      </c>
      <c r="F7" s="26">
        <v>35</v>
      </c>
      <c r="G7" s="26">
        <v>33</v>
      </c>
      <c r="H7" s="26">
        <v>57</v>
      </c>
      <c r="I7" s="15">
        <f t="shared" si="1"/>
        <v>0.72727272727272729</v>
      </c>
      <c r="J7" s="13">
        <v>1042</v>
      </c>
      <c r="K7" s="26">
        <v>842</v>
      </c>
      <c r="L7" s="26">
        <v>947</v>
      </c>
      <c r="M7" s="22">
        <f t="shared" si="2"/>
        <v>0.12470308788598583</v>
      </c>
      <c r="N7" s="13">
        <f t="shared" si="3"/>
        <v>1087</v>
      </c>
      <c r="O7" s="13">
        <f t="shared" si="3"/>
        <v>887</v>
      </c>
      <c r="P7" s="13">
        <f t="shared" si="3"/>
        <v>1015</v>
      </c>
      <c r="Q7" s="15">
        <f t="shared" si="4"/>
        <v>0.14430665163472378</v>
      </c>
    </row>
    <row r="8" spans="1:17" s="40" customFormat="1" ht="12" customHeight="1" x14ac:dyDescent="0.2">
      <c r="A8" s="25" t="s">
        <v>228</v>
      </c>
      <c r="B8" s="26">
        <v>15</v>
      </c>
      <c r="C8" s="26">
        <v>8</v>
      </c>
      <c r="D8" s="26">
        <v>6</v>
      </c>
      <c r="E8" s="22">
        <f t="shared" si="0"/>
        <v>-0.25</v>
      </c>
      <c r="F8" s="26">
        <v>35</v>
      </c>
      <c r="G8" s="26">
        <v>36</v>
      </c>
      <c r="H8" s="26">
        <v>39</v>
      </c>
      <c r="I8" s="15">
        <f t="shared" si="1"/>
        <v>8.3333333333333259E-2</v>
      </c>
      <c r="J8" s="13">
        <v>1424</v>
      </c>
      <c r="K8" s="13">
        <v>1264</v>
      </c>
      <c r="L8" s="13">
        <v>1357</v>
      </c>
      <c r="M8" s="22">
        <f t="shared" si="2"/>
        <v>7.3575949367088667E-2</v>
      </c>
      <c r="N8" s="13">
        <f t="shared" si="3"/>
        <v>1474</v>
      </c>
      <c r="O8" s="13">
        <f t="shared" si="3"/>
        <v>1308</v>
      </c>
      <c r="P8" s="13">
        <f t="shared" si="3"/>
        <v>1402</v>
      </c>
      <c r="Q8" s="15">
        <f t="shared" si="4"/>
        <v>7.1865443425076503E-2</v>
      </c>
    </row>
    <row r="9" spans="1:17" s="40" customFormat="1" ht="12" customHeight="1" x14ac:dyDescent="0.2">
      <c r="A9" s="25" t="s">
        <v>229</v>
      </c>
      <c r="B9" s="26">
        <v>14</v>
      </c>
      <c r="C9" s="26">
        <v>19</v>
      </c>
      <c r="D9" s="26">
        <v>9</v>
      </c>
      <c r="E9" s="22">
        <f t="shared" si="0"/>
        <v>-0.52631578947368429</v>
      </c>
      <c r="F9" s="26">
        <v>54</v>
      </c>
      <c r="G9" s="26">
        <v>49</v>
      </c>
      <c r="H9" s="26">
        <v>68</v>
      </c>
      <c r="I9" s="15">
        <f t="shared" si="1"/>
        <v>0.38775510204081631</v>
      </c>
      <c r="J9" s="13">
        <v>1809</v>
      </c>
      <c r="K9" s="13">
        <v>1588</v>
      </c>
      <c r="L9" s="13">
        <v>1660</v>
      </c>
      <c r="M9" s="22">
        <f t="shared" si="2"/>
        <v>4.534005037783384E-2</v>
      </c>
      <c r="N9" s="13">
        <f t="shared" si="3"/>
        <v>1877</v>
      </c>
      <c r="O9" s="13">
        <f t="shared" si="3"/>
        <v>1656</v>
      </c>
      <c r="P9" s="13">
        <f t="shared" si="3"/>
        <v>1737</v>
      </c>
      <c r="Q9" s="15">
        <f t="shared" si="4"/>
        <v>4.8913043478260976E-2</v>
      </c>
    </row>
    <row r="10" spans="1:17" s="40" customFormat="1" ht="12" customHeight="1" x14ac:dyDescent="0.2">
      <c r="A10" s="25" t="s">
        <v>230</v>
      </c>
      <c r="B10" s="26">
        <v>31</v>
      </c>
      <c r="C10" s="26">
        <v>19</v>
      </c>
      <c r="D10" s="26">
        <v>16</v>
      </c>
      <c r="E10" s="22">
        <f t="shared" si="0"/>
        <v>-0.15789473684210531</v>
      </c>
      <c r="F10" s="26">
        <v>87</v>
      </c>
      <c r="G10" s="26">
        <v>85</v>
      </c>
      <c r="H10" s="26">
        <v>81</v>
      </c>
      <c r="I10" s="15">
        <f t="shared" si="1"/>
        <v>-4.705882352941182E-2</v>
      </c>
      <c r="J10" s="13">
        <v>2509</v>
      </c>
      <c r="K10" s="13">
        <v>2250</v>
      </c>
      <c r="L10" s="13">
        <v>2137</v>
      </c>
      <c r="M10" s="22">
        <f t="shared" si="2"/>
        <v>-5.0222222222222168E-2</v>
      </c>
      <c r="N10" s="13">
        <f t="shared" si="3"/>
        <v>2627</v>
      </c>
      <c r="O10" s="13">
        <f t="shared" si="3"/>
        <v>2354</v>
      </c>
      <c r="P10" s="13">
        <f t="shared" si="3"/>
        <v>2234</v>
      </c>
      <c r="Q10" s="15">
        <f t="shared" si="4"/>
        <v>-5.0977060322854761E-2</v>
      </c>
    </row>
    <row r="11" spans="1:17" s="40" customFormat="1" ht="12" customHeight="1" x14ac:dyDescent="0.2">
      <c r="A11" s="25" t="s">
        <v>231</v>
      </c>
      <c r="B11" s="26">
        <v>45</v>
      </c>
      <c r="C11" s="26">
        <v>18</v>
      </c>
      <c r="D11" s="26">
        <v>14</v>
      </c>
      <c r="E11" s="22">
        <f t="shared" si="0"/>
        <v>-0.22222222222222221</v>
      </c>
      <c r="F11" s="26">
        <v>78</v>
      </c>
      <c r="G11" s="26">
        <v>64</v>
      </c>
      <c r="H11" s="26">
        <v>80</v>
      </c>
      <c r="I11" s="15">
        <f t="shared" si="1"/>
        <v>0.25</v>
      </c>
      <c r="J11" s="13">
        <v>2091</v>
      </c>
      <c r="K11" s="13">
        <v>1737</v>
      </c>
      <c r="L11" s="13">
        <v>1841</v>
      </c>
      <c r="M11" s="22">
        <f t="shared" si="2"/>
        <v>5.9873344847438004E-2</v>
      </c>
      <c r="N11" s="13">
        <f t="shared" si="3"/>
        <v>2214</v>
      </c>
      <c r="O11" s="13">
        <f t="shared" si="3"/>
        <v>1819</v>
      </c>
      <c r="P11" s="13">
        <f t="shared" si="3"/>
        <v>1935</v>
      </c>
      <c r="Q11" s="15">
        <f t="shared" si="4"/>
        <v>6.3771302913688821E-2</v>
      </c>
    </row>
    <row r="12" spans="1:17" s="40" customFormat="1" ht="12" customHeight="1" x14ac:dyDescent="0.2">
      <c r="A12" s="25" t="s">
        <v>232</v>
      </c>
      <c r="B12" s="26">
        <v>13</v>
      </c>
      <c r="C12" s="26">
        <v>8</v>
      </c>
      <c r="D12" s="26">
        <v>6</v>
      </c>
      <c r="E12" s="22">
        <f t="shared" si="0"/>
        <v>-0.25</v>
      </c>
      <c r="F12" s="26">
        <v>62</v>
      </c>
      <c r="G12" s="26">
        <v>38</v>
      </c>
      <c r="H12" s="26">
        <v>37</v>
      </c>
      <c r="I12" s="15">
        <f t="shared" si="1"/>
        <v>-2.6315789473684181E-2</v>
      </c>
      <c r="J12" s="26">
        <v>985</v>
      </c>
      <c r="K12" s="26">
        <v>768</v>
      </c>
      <c r="L12" s="26">
        <v>857</v>
      </c>
      <c r="M12" s="22">
        <f t="shared" si="2"/>
        <v>0.11588541666666674</v>
      </c>
      <c r="N12" s="13">
        <f t="shared" si="3"/>
        <v>1060</v>
      </c>
      <c r="O12" s="13">
        <f t="shared" si="3"/>
        <v>814</v>
      </c>
      <c r="P12" s="13">
        <f t="shared" si="3"/>
        <v>900</v>
      </c>
      <c r="Q12" s="15">
        <f t="shared" si="4"/>
        <v>0.10565110565110558</v>
      </c>
    </row>
    <row r="13" spans="1:17" s="40" customFormat="1" ht="12" customHeight="1" thickBot="1" x14ac:dyDescent="0.25">
      <c r="A13" s="27" t="s">
        <v>0</v>
      </c>
      <c r="B13" s="23">
        <f>SUM(B5:B12)</f>
        <v>145</v>
      </c>
      <c r="C13" s="16">
        <f t="shared" ref="C13:D13" si="5">SUM(C5:C12)</f>
        <v>105</v>
      </c>
      <c r="D13" s="16">
        <f t="shared" si="5"/>
        <v>76</v>
      </c>
      <c r="E13" s="24">
        <f>D13/C13-1</f>
        <v>-0.27619047619047621</v>
      </c>
      <c r="F13" s="16">
        <f t="shared" ref="F13:H13" si="6">SUM(F5:F12)</f>
        <v>418</v>
      </c>
      <c r="G13" s="16">
        <f t="shared" si="6"/>
        <v>366</v>
      </c>
      <c r="H13" s="16">
        <f t="shared" si="6"/>
        <v>425</v>
      </c>
      <c r="I13" s="17">
        <f>H13/G13-1</f>
        <v>0.16120218579234979</v>
      </c>
      <c r="J13" s="23">
        <f t="shared" ref="J13:L13" si="7">SUM(J5:J12)</f>
        <v>10667</v>
      </c>
      <c r="K13" s="16">
        <f t="shared" si="7"/>
        <v>9201</v>
      </c>
      <c r="L13" s="16">
        <f t="shared" si="7"/>
        <v>9497</v>
      </c>
      <c r="M13" s="24">
        <f>L13/K13-1</f>
        <v>3.217041625910233E-2</v>
      </c>
      <c r="N13" s="16">
        <f t="shared" ref="N13:P13" si="8">SUM(N5:N12)</f>
        <v>11230</v>
      </c>
      <c r="O13" s="16">
        <f t="shared" si="8"/>
        <v>9672</v>
      </c>
      <c r="P13" s="16">
        <f t="shared" si="8"/>
        <v>9998</v>
      </c>
      <c r="Q13" s="17">
        <f>P13/O13-1</f>
        <v>3.3705541770057801E-2</v>
      </c>
    </row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thickBot="1" x14ac:dyDescent="0.35"/>
    <row r="33" spans="7:7" ht="12" customHeight="1" x14ac:dyDescent="0.3">
      <c r="G33" s="213"/>
    </row>
    <row r="34" spans="7:7" x14ac:dyDescent="0.3">
      <c r="G34" s="214"/>
    </row>
  </sheetData>
  <mergeCells count="6">
    <mergeCell ref="N3:Q3"/>
    <mergeCell ref="G33:G34"/>
    <mergeCell ref="A3:A4"/>
    <mergeCell ref="B3:E3"/>
    <mergeCell ref="F3:I3"/>
    <mergeCell ref="J3:M3"/>
  </mergeCells>
  <pageMargins left="0.7" right="0.7" top="0.75" bottom="0.75" header="0.3" footer="0.3"/>
  <pageSetup paperSize="9" scale="95" orientation="portrait" r:id="rId1"/>
  <ignoredErrors>
    <ignoredError sqref="B13:H13 N13:Q13" formulaRange="1"/>
    <ignoredError sqref="I13:M13" formula="1" formulaRange="1"/>
  </ignoredError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A9C7-8E0B-44A8-B928-B17FBEE80E00}">
  <sheetPr codeName="Planilha39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196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157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63</v>
      </c>
      <c r="B5" s="26">
        <v>124</v>
      </c>
      <c r="C5" s="26">
        <v>95</v>
      </c>
      <c r="D5" s="26">
        <v>64</v>
      </c>
      <c r="E5" s="22">
        <f t="shared" ref="E5:E7" si="0">D5/C5-1</f>
        <v>-0.32631578947368423</v>
      </c>
      <c r="F5" s="26">
        <v>344</v>
      </c>
      <c r="G5" s="26">
        <v>307</v>
      </c>
      <c r="H5" s="26">
        <v>356</v>
      </c>
      <c r="I5" s="15">
        <f t="shared" ref="I5:I7" si="1">H5/G5-1</f>
        <v>0.15960912052117271</v>
      </c>
      <c r="J5" s="13">
        <v>8376</v>
      </c>
      <c r="K5" s="13">
        <v>7515</v>
      </c>
      <c r="L5" s="13">
        <v>7670</v>
      </c>
      <c r="M5" s="22">
        <f t="shared" ref="M5:M12" si="2">L5/K5-1</f>
        <v>2.0625415834996774E-2</v>
      </c>
      <c r="N5" s="13">
        <f t="shared" ref="N5:P12" si="3">B5+F5+J5</f>
        <v>8844</v>
      </c>
      <c r="O5" s="68">
        <f t="shared" si="3"/>
        <v>7917</v>
      </c>
      <c r="P5" s="68">
        <f t="shared" si="3"/>
        <v>8090</v>
      </c>
      <c r="Q5" s="81">
        <f t="shared" ref="Q5:Q12" si="4">P5/O5-1</f>
        <v>2.185171150688392E-2</v>
      </c>
    </row>
    <row r="6" spans="1:17" s="40" customFormat="1" ht="12" customHeight="1" x14ac:dyDescent="0.2">
      <c r="A6" s="25" t="s">
        <v>64</v>
      </c>
      <c r="B6" s="26">
        <v>17</v>
      </c>
      <c r="C6" s="26">
        <v>8</v>
      </c>
      <c r="D6" s="26">
        <v>11</v>
      </c>
      <c r="E6" s="22">
        <f t="shared" si="0"/>
        <v>0.375</v>
      </c>
      <c r="F6" s="26">
        <v>64</v>
      </c>
      <c r="G6" s="26">
        <v>51</v>
      </c>
      <c r="H6" s="26">
        <v>65</v>
      </c>
      <c r="I6" s="15">
        <f t="shared" si="1"/>
        <v>0.27450980392156854</v>
      </c>
      <c r="J6" s="13">
        <v>2149</v>
      </c>
      <c r="K6" s="13">
        <v>1568</v>
      </c>
      <c r="L6" s="13">
        <v>1731</v>
      </c>
      <c r="M6" s="22">
        <f t="shared" si="2"/>
        <v>0.10395408163265296</v>
      </c>
      <c r="N6" s="13">
        <f t="shared" si="3"/>
        <v>2230</v>
      </c>
      <c r="O6" s="13">
        <f t="shared" si="3"/>
        <v>1627</v>
      </c>
      <c r="P6" s="13">
        <f t="shared" si="3"/>
        <v>1807</v>
      </c>
      <c r="Q6" s="15">
        <f t="shared" si="4"/>
        <v>0.1106330669944684</v>
      </c>
    </row>
    <row r="7" spans="1:17" s="40" customFormat="1" ht="12" customHeight="1" x14ac:dyDescent="0.2">
      <c r="A7" s="25" t="s">
        <v>65</v>
      </c>
      <c r="B7" s="26">
        <v>1</v>
      </c>
      <c r="C7" s="26">
        <v>1</v>
      </c>
      <c r="D7" s="26">
        <v>1</v>
      </c>
      <c r="E7" s="22">
        <f t="shared" si="0"/>
        <v>0</v>
      </c>
      <c r="F7" s="26">
        <v>8</v>
      </c>
      <c r="G7" s="26">
        <v>6</v>
      </c>
      <c r="H7" s="26">
        <v>4</v>
      </c>
      <c r="I7" s="15">
        <f t="shared" si="1"/>
        <v>-0.33333333333333337</v>
      </c>
      <c r="J7" s="26">
        <v>88</v>
      </c>
      <c r="K7" s="26">
        <v>95</v>
      </c>
      <c r="L7" s="26">
        <v>67</v>
      </c>
      <c r="M7" s="22">
        <f t="shared" si="2"/>
        <v>-0.29473684210526319</v>
      </c>
      <c r="N7" s="13">
        <f t="shared" si="3"/>
        <v>97</v>
      </c>
      <c r="O7" s="13">
        <f t="shared" si="3"/>
        <v>102</v>
      </c>
      <c r="P7" s="13">
        <f t="shared" si="3"/>
        <v>72</v>
      </c>
      <c r="Q7" s="15">
        <f t="shared" si="4"/>
        <v>-0.29411764705882348</v>
      </c>
    </row>
    <row r="8" spans="1:17" s="40" customFormat="1" ht="12" customHeight="1" x14ac:dyDescent="0.2">
      <c r="A8" s="25" t="s">
        <v>69</v>
      </c>
      <c r="B8" s="26">
        <v>1</v>
      </c>
      <c r="C8" s="26">
        <v>0</v>
      </c>
      <c r="D8" s="26">
        <v>0</v>
      </c>
      <c r="E8" s="22" t="s">
        <v>62</v>
      </c>
      <c r="F8" s="26">
        <v>0</v>
      </c>
      <c r="G8" s="26">
        <v>0</v>
      </c>
      <c r="H8" s="26">
        <v>0</v>
      </c>
      <c r="I8" s="15" t="s">
        <v>62</v>
      </c>
      <c r="J8" s="26">
        <v>27</v>
      </c>
      <c r="K8" s="26">
        <v>2</v>
      </c>
      <c r="L8" s="26">
        <v>10</v>
      </c>
      <c r="M8" s="22">
        <f t="shared" si="2"/>
        <v>4</v>
      </c>
      <c r="N8" s="13">
        <f t="shared" si="3"/>
        <v>28</v>
      </c>
      <c r="O8" s="13">
        <f t="shared" si="3"/>
        <v>2</v>
      </c>
      <c r="P8" s="13">
        <f t="shared" si="3"/>
        <v>10</v>
      </c>
      <c r="Q8" s="15">
        <f t="shared" si="4"/>
        <v>4</v>
      </c>
    </row>
    <row r="9" spans="1:17" s="40" customFormat="1" ht="12" customHeight="1" x14ac:dyDescent="0.2">
      <c r="A9" s="25" t="s">
        <v>68</v>
      </c>
      <c r="B9" s="26">
        <v>2</v>
      </c>
      <c r="C9" s="26">
        <v>0</v>
      </c>
      <c r="D9" s="26">
        <v>0</v>
      </c>
      <c r="E9" s="22" t="s">
        <v>62</v>
      </c>
      <c r="F9" s="26">
        <v>2</v>
      </c>
      <c r="G9" s="26">
        <v>0</v>
      </c>
      <c r="H9" s="26">
        <v>0</v>
      </c>
      <c r="I9" s="15" t="s">
        <v>62</v>
      </c>
      <c r="J9" s="26">
        <v>2</v>
      </c>
      <c r="K9" s="26">
        <v>0</v>
      </c>
      <c r="L9" s="26">
        <v>0</v>
      </c>
      <c r="M9" s="15" t="s">
        <v>62</v>
      </c>
      <c r="N9" s="13">
        <f t="shared" si="3"/>
        <v>6</v>
      </c>
      <c r="O9" s="13">
        <f t="shared" si="3"/>
        <v>0</v>
      </c>
      <c r="P9" s="13">
        <f t="shared" si="3"/>
        <v>0</v>
      </c>
      <c r="Q9" s="15" t="s">
        <v>62</v>
      </c>
    </row>
    <row r="10" spans="1:17" s="40" customFormat="1" ht="12" customHeight="1" x14ac:dyDescent="0.2">
      <c r="A10" s="25" t="s">
        <v>66</v>
      </c>
      <c r="B10" s="26">
        <v>0</v>
      </c>
      <c r="C10" s="26">
        <v>1</v>
      </c>
      <c r="D10" s="26">
        <v>0</v>
      </c>
      <c r="E10" s="22">
        <f t="shared" ref="E10" si="5">D10/C10-1</f>
        <v>-1</v>
      </c>
      <c r="F10" s="26">
        <v>0</v>
      </c>
      <c r="G10" s="26">
        <v>0</v>
      </c>
      <c r="H10" s="26">
        <v>0</v>
      </c>
      <c r="I10" s="15" t="s">
        <v>62</v>
      </c>
      <c r="J10" s="26">
        <v>6</v>
      </c>
      <c r="K10" s="26">
        <v>10</v>
      </c>
      <c r="L10" s="26">
        <v>9</v>
      </c>
      <c r="M10" s="22">
        <f t="shared" si="2"/>
        <v>-9.9999999999999978E-2</v>
      </c>
      <c r="N10" s="13">
        <f t="shared" si="3"/>
        <v>6</v>
      </c>
      <c r="O10" s="13">
        <f t="shared" si="3"/>
        <v>11</v>
      </c>
      <c r="P10" s="13">
        <f t="shared" si="3"/>
        <v>9</v>
      </c>
      <c r="Q10" s="15">
        <f t="shared" si="4"/>
        <v>-0.18181818181818177</v>
      </c>
    </row>
    <row r="11" spans="1:17" s="40" customFormat="1" ht="12" customHeight="1" x14ac:dyDescent="0.2">
      <c r="A11" s="25" t="s">
        <v>67</v>
      </c>
      <c r="B11" s="26">
        <v>0</v>
      </c>
      <c r="C11" s="26">
        <v>0</v>
      </c>
      <c r="D11" s="26">
        <v>0</v>
      </c>
      <c r="E11" s="22" t="s">
        <v>62</v>
      </c>
      <c r="F11" s="26">
        <v>0</v>
      </c>
      <c r="G11" s="26">
        <v>2</v>
      </c>
      <c r="H11" s="26">
        <v>0</v>
      </c>
      <c r="I11" s="15">
        <f t="shared" ref="I11" si="6">H11/G11-1</f>
        <v>-1</v>
      </c>
      <c r="J11" s="26">
        <v>6</v>
      </c>
      <c r="K11" s="26">
        <v>4</v>
      </c>
      <c r="L11" s="26">
        <v>8</v>
      </c>
      <c r="M11" s="22">
        <f t="shared" si="2"/>
        <v>1</v>
      </c>
      <c r="N11" s="13">
        <f t="shared" si="3"/>
        <v>6</v>
      </c>
      <c r="O11" s="13">
        <f t="shared" si="3"/>
        <v>6</v>
      </c>
      <c r="P11" s="13">
        <f t="shared" si="3"/>
        <v>8</v>
      </c>
      <c r="Q11" s="15">
        <f t="shared" si="4"/>
        <v>0.33333333333333326</v>
      </c>
    </row>
    <row r="12" spans="1:17" s="40" customFormat="1" ht="12" customHeight="1" x14ac:dyDescent="0.2">
      <c r="A12" s="25" t="s">
        <v>70</v>
      </c>
      <c r="B12" s="26">
        <v>0</v>
      </c>
      <c r="C12" s="26">
        <v>0</v>
      </c>
      <c r="D12" s="26">
        <v>0</v>
      </c>
      <c r="E12" s="22" t="s">
        <v>62</v>
      </c>
      <c r="F12" s="26">
        <v>0</v>
      </c>
      <c r="G12" s="26">
        <v>0</v>
      </c>
      <c r="H12" s="26">
        <v>0</v>
      </c>
      <c r="I12" s="15" t="s">
        <v>62</v>
      </c>
      <c r="J12" s="26">
        <v>13</v>
      </c>
      <c r="K12" s="26">
        <v>7</v>
      </c>
      <c r="L12" s="26">
        <v>2</v>
      </c>
      <c r="M12" s="22">
        <f t="shared" si="2"/>
        <v>-0.7142857142857143</v>
      </c>
      <c r="N12" s="13">
        <f t="shared" si="3"/>
        <v>13</v>
      </c>
      <c r="O12" s="13">
        <f t="shared" si="3"/>
        <v>7</v>
      </c>
      <c r="P12" s="13">
        <f t="shared" si="3"/>
        <v>2</v>
      </c>
      <c r="Q12" s="15">
        <f t="shared" si="4"/>
        <v>-0.7142857142857143</v>
      </c>
    </row>
    <row r="13" spans="1:17" s="40" customFormat="1" ht="12" customHeight="1" thickBot="1" x14ac:dyDescent="0.25">
      <c r="A13" s="27" t="s">
        <v>0</v>
      </c>
      <c r="B13" s="23">
        <f>SUM(B5:B12)</f>
        <v>145</v>
      </c>
      <c r="C13" s="16">
        <f t="shared" ref="C13:D13" si="7">SUM(C5:C12)</f>
        <v>105</v>
      </c>
      <c r="D13" s="16">
        <f t="shared" si="7"/>
        <v>76</v>
      </c>
      <c r="E13" s="24">
        <f>D13/C13-1</f>
        <v>-0.27619047619047621</v>
      </c>
      <c r="F13" s="16">
        <f t="shared" ref="F13:H13" si="8">SUM(F5:F12)</f>
        <v>418</v>
      </c>
      <c r="G13" s="16">
        <f t="shared" si="8"/>
        <v>366</v>
      </c>
      <c r="H13" s="16">
        <f t="shared" si="8"/>
        <v>425</v>
      </c>
      <c r="I13" s="17">
        <f>H13/G13-1</f>
        <v>0.16120218579234979</v>
      </c>
      <c r="J13" s="23">
        <f t="shared" ref="J13:L13" si="9">SUM(J5:J12)</f>
        <v>10667</v>
      </c>
      <c r="K13" s="16">
        <f t="shared" si="9"/>
        <v>9201</v>
      </c>
      <c r="L13" s="16">
        <f t="shared" si="9"/>
        <v>9497</v>
      </c>
      <c r="M13" s="24">
        <f>L13/K13-1</f>
        <v>3.217041625910233E-2</v>
      </c>
      <c r="N13" s="16">
        <f t="shared" ref="N13:P13" si="10">SUM(N5:N12)</f>
        <v>11230</v>
      </c>
      <c r="O13" s="16">
        <f t="shared" si="10"/>
        <v>9672</v>
      </c>
      <c r="P13" s="16">
        <f t="shared" si="10"/>
        <v>9998</v>
      </c>
      <c r="Q13" s="17">
        <f>P13/O13-1</f>
        <v>3.3705541770057801E-2</v>
      </c>
    </row>
    <row r="14" spans="1:17" s="40" customFormat="1" ht="12" customHeight="1" x14ac:dyDescent="0.2">
      <c r="A14" s="40" t="s">
        <v>338</v>
      </c>
    </row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5" orientation="portrait" r:id="rId1"/>
  <ignoredErrors>
    <ignoredError sqref="B13:H13 N13:Q13" formulaRange="1"/>
    <ignoredError sqref="I13:M13" formula="1" formulaRange="1"/>
  </ignoredError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99CD-5A6A-4194-A0A4-92885FFC70FC}">
  <sheetPr codeName="Planilha40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197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71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72</v>
      </c>
      <c r="B5" s="86">
        <v>101</v>
      </c>
      <c r="C5" s="26">
        <v>62</v>
      </c>
      <c r="D5" s="26">
        <v>43</v>
      </c>
      <c r="E5" s="22">
        <f t="shared" ref="E5:E7" si="0">D5/C5-1</f>
        <v>-0.30645161290322576</v>
      </c>
      <c r="F5" s="26">
        <v>242</v>
      </c>
      <c r="G5" s="26">
        <v>230</v>
      </c>
      <c r="H5" s="26">
        <v>270</v>
      </c>
      <c r="I5" s="15">
        <f t="shared" ref="I5:I7" si="1">H5/G5-1</f>
        <v>0.17391304347826098</v>
      </c>
      <c r="J5" s="13">
        <v>7258</v>
      </c>
      <c r="K5" s="13">
        <v>6502</v>
      </c>
      <c r="L5" s="13">
        <v>6748</v>
      </c>
      <c r="M5" s="22">
        <f t="shared" ref="M5:M7" si="2">L5/K5-1</f>
        <v>3.7834512457705305E-2</v>
      </c>
      <c r="N5" s="13">
        <f t="shared" ref="N5:P8" si="3">B5+F5+J5</f>
        <v>7601</v>
      </c>
      <c r="O5" s="13">
        <f t="shared" si="3"/>
        <v>6794</v>
      </c>
      <c r="P5" s="68">
        <f t="shared" si="3"/>
        <v>7061</v>
      </c>
      <c r="Q5" s="81">
        <f t="shared" ref="Q5:Q7" si="4">P5/O5-1</f>
        <v>3.9299381807477163E-2</v>
      </c>
    </row>
    <row r="6" spans="1:17" s="40" customFormat="1" ht="12" customHeight="1" x14ac:dyDescent="0.2">
      <c r="A6" s="25" t="s">
        <v>73</v>
      </c>
      <c r="B6" s="26">
        <v>42</v>
      </c>
      <c r="C6" s="26">
        <v>39</v>
      </c>
      <c r="D6" s="26">
        <v>29</v>
      </c>
      <c r="E6" s="22">
        <f t="shared" si="0"/>
        <v>-0.25641025641025639</v>
      </c>
      <c r="F6" s="26">
        <v>161</v>
      </c>
      <c r="G6" s="26">
        <v>126</v>
      </c>
      <c r="H6" s="26">
        <v>143</v>
      </c>
      <c r="I6" s="15">
        <f t="shared" si="1"/>
        <v>0.13492063492063489</v>
      </c>
      <c r="J6" s="13">
        <v>2923</v>
      </c>
      <c r="K6" s="13">
        <v>2372</v>
      </c>
      <c r="L6" s="13">
        <v>2504</v>
      </c>
      <c r="M6" s="22">
        <f t="shared" si="2"/>
        <v>5.5649241146711548E-2</v>
      </c>
      <c r="N6" s="13">
        <f t="shared" si="3"/>
        <v>3126</v>
      </c>
      <c r="O6" s="13">
        <f t="shared" si="3"/>
        <v>2537</v>
      </c>
      <c r="P6" s="13">
        <f t="shared" si="3"/>
        <v>2676</v>
      </c>
      <c r="Q6" s="15">
        <f t="shared" si="4"/>
        <v>5.4789121009065855E-2</v>
      </c>
    </row>
    <row r="7" spans="1:17" s="40" customFormat="1" ht="12" customHeight="1" x14ac:dyDescent="0.2">
      <c r="A7" s="25" t="s">
        <v>205</v>
      </c>
      <c r="B7" s="26">
        <v>2</v>
      </c>
      <c r="C7" s="26">
        <v>4</v>
      </c>
      <c r="D7" s="26">
        <v>4</v>
      </c>
      <c r="E7" s="22">
        <f t="shared" si="0"/>
        <v>0</v>
      </c>
      <c r="F7" s="26">
        <v>14</v>
      </c>
      <c r="G7" s="26">
        <v>10</v>
      </c>
      <c r="H7" s="26">
        <v>12</v>
      </c>
      <c r="I7" s="15">
        <f t="shared" si="1"/>
        <v>0.19999999999999996</v>
      </c>
      <c r="J7" s="26">
        <v>479</v>
      </c>
      <c r="K7" s="26">
        <v>327</v>
      </c>
      <c r="L7" s="26">
        <v>245</v>
      </c>
      <c r="M7" s="22">
        <f t="shared" si="2"/>
        <v>-0.25076452599388377</v>
      </c>
      <c r="N7" s="13">
        <f t="shared" si="3"/>
        <v>495</v>
      </c>
      <c r="O7" s="13">
        <f t="shared" si="3"/>
        <v>341</v>
      </c>
      <c r="P7" s="13">
        <f t="shared" si="3"/>
        <v>261</v>
      </c>
      <c r="Q7" s="15">
        <f t="shared" si="4"/>
        <v>-0.23460410557184752</v>
      </c>
    </row>
    <row r="8" spans="1:17" s="40" customFormat="1" ht="12" customHeight="1" x14ac:dyDescent="0.2">
      <c r="A8" s="25" t="s">
        <v>70</v>
      </c>
      <c r="B8" s="26">
        <v>0</v>
      </c>
      <c r="C8" s="26">
        <v>0</v>
      </c>
      <c r="D8" s="26">
        <v>0</v>
      </c>
      <c r="E8" s="22" t="s">
        <v>62</v>
      </c>
      <c r="F8" s="26">
        <v>1</v>
      </c>
      <c r="G8" s="26">
        <v>0</v>
      </c>
      <c r="H8" s="26">
        <v>0</v>
      </c>
      <c r="I8" s="15" t="s">
        <v>62</v>
      </c>
      <c r="J8" s="26">
        <v>7</v>
      </c>
      <c r="K8" s="26">
        <v>0</v>
      </c>
      <c r="L8" s="26">
        <v>0</v>
      </c>
      <c r="M8" s="22" t="s">
        <v>62</v>
      </c>
      <c r="N8" s="13">
        <f t="shared" si="3"/>
        <v>8</v>
      </c>
      <c r="O8" s="13">
        <f t="shared" si="3"/>
        <v>0</v>
      </c>
      <c r="P8" s="13">
        <f t="shared" si="3"/>
        <v>0</v>
      </c>
      <c r="Q8" s="15" t="s">
        <v>62</v>
      </c>
    </row>
    <row r="9" spans="1:17" s="40" customFormat="1" ht="12" customHeight="1" thickBot="1" x14ac:dyDescent="0.25">
      <c r="A9" s="27" t="s">
        <v>0</v>
      </c>
      <c r="B9" s="23">
        <f>SUM(B5:B8)</f>
        <v>145</v>
      </c>
      <c r="C9" s="16">
        <f t="shared" ref="C9:D9" si="5">SUM(C5:C8)</f>
        <v>105</v>
      </c>
      <c r="D9" s="16">
        <f t="shared" si="5"/>
        <v>76</v>
      </c>
      <c r="E9" s="24">
        <f>D9/C9-1</f>
        <v>-0.27619047619047621</v>
      </c>
      <c r="F9" s="16">
        <f t="shared" ref="F9:H9" si="6">SUM(F5:F8)</f>
        <v>418</v>
      </c>
      <c r="G9" s="16">
        <f t="shared" si="6"/>
        <v>366</v>
      </c>
      <c r="H9" s="16">
        <f t="shared" si="6"/>
        <v>425</v>
      </c>
      <c r="I9" s="17">
        <f>H9/G9-1</f>
        <v>0.16120218579234979</v>
      </c>
      <c r="J9" s="23">
        <f t="shared" ref="J9:L9" si="7">SUM(J5:J8)</f>
        <v>10667</v>
      </c>
      <c r="K9" s="16">
        <f t="shared" si="7"/>
        <v>9201</v>
      </c>
      <c r="L9" s="16">
        <f t="shared" si="7"/>
        <v>9497</v>
      </c>
      <c r="M9" s="24">
        <f>L9/K9-1</f>
        <v>3.217041625910233E-2</v>
      </c>
      <c r="N9" s="16">
        <f t="shared" ref="N9:P9" si="8">SUM(N5:N8)</f>
        <v>11230</v>
      </c>
      <c r="O9" s="16">
        <f t="shared" si="8"/>
        <v>9672</v>
      </c>
      <c r="P9" s="16">
        <f t="shared" si="8"/>
        <v>9998</v>
      </c>
      <c r="Q9" s="17">
        <f>P9/O9-1</f>
        <v>3.3705541770057801E-2</v>
      </c>
    </row>
    <row r="10" spans="1:17" s="40" customFormat="1" ht="12" customHeight="1" x14ac:dyDescent="0.2">
      <c r="A10" s="40" t="s">
        <v>338</v>
      </c>
      <c r="M10" s="109"/>
    </row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8" orientation="portrait" r:id="rId1"/>
  <ignoredErrors>
    <ignoredError sqref="B9:H9 N9:Q9" formulaRange="1"/>
    <ignoredError sqref="I9:M9" formula="1" formulaRange="1"/>
  </ignoredError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4DCA-CE30-411A-9745-2C2FCCC1A712}">
  <sheetPr codeName="Planilha41"/>
  <dimension ref="A1:Q32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294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61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55</v>
      </c>
      <c r="B5" s="26">
        <v>0</v>
      </c>
      <c r="C5" s="26">
        <v>0</v>
      </c>
      <c r="D5" s="26">
        <v>0</v>
      </c>
      <c r="E5" s="22" t="s">
        <v>62</v>
      </c>
      <c r="F5" s="26">
        <v>0</v>
      </c>
      <c r="G5" s="26">
        <v>1</v>
      </c>
      <c r="H5" s="26">
        <v>1</v>
      </c>
      <c r="I5" s="15">
        <f t="shared" ref="I5:I6" si="0">H5/G5-1</f>
        <v>0</v>
      </c>
      <c r="J5" s="26">
        <v>53</v>
      </c>
      <c r="K5" s="26">
        <v>31</v>
      </c>
      <c r="L5" s="26">
        <v>59</v>
      </c>
      <c r="M5" s="22">
        <f>L5/K5-1</f>
        <v>0.90322580645161299</v>
      </c>
      <c r="N5" s="13">
        <f t="shared" ref="N5:P7" si="1">B5+F5+J5</f>
        <v>53</v>
      </c>
      <c r="O5" s="68">
        <f t="shared" si="1"/>
        <v>32</v>
      </c>
      <c r="P5" s="68">
        <f t="shared" si="1"/>
        <v>60</v>
      </c>
      <c r="Q5" s="81">
        <f>P5/O5-1</f>
        <v>0.875</v>
      </c>
    </row>
    <row r="6" spans="1:17" s="40" customFormat="1" ht="12" customHeight="1" x14ac:dyDescent="0.2">
      <c r="A6" s="25" t="s">
        <v>56</v>
      </c>
      <c r="B6" s="26">
        <v>58</v>
      </c>
      <c r="C6" s="26">
        <v>49</v>
      </c>
      <c r="D6" s="26">
        <v>41</v>
      </c>
      <c r="E6" s="22">
        <f t="shared" ref="E6" si="2">D6/C6-1</f>
        <v>-0.16326530612244894</v>
      </c>
      <c r="F6" s="26">
        <v>175</v>
      </c>
      <c r="G6" s="26">
        <v>206</v>
      </c>
      <c r="H6" s="26">
        <v>221</v>
      </c>
      <c r="I6" s="15">
        <f t="shared" si="0"/>
        <v>7.2815533980582492E-2</v>
      </c>
      <c r="J6" s="13">
        <v>7432</v>
      </c>
      <c r="K6" s="13">
        <v>6275</v>
      </c>
      <c r="L6" s="13">
        <v>6607</v>
      </c>
      <c r="M6" s="22">
        <f t="shared" ref="M6" si="3">L6/K6-1</f>
        <v>5.2908366533864548E-2</v>
      </c>
      <c r="N6" s="13">
        <f t="shared" si="1"/>
        <v>7665</v>
      </c>
      <c r="O6" s="13">
        <f t="shared" si="1"/>
        <v>6530</v>
      </c>
      <c r="P6" s="13">
        <f t="shared" si="1"/>
        <v>6869</v>
      </c>
      <c r="Q6" s="15">
        <f t="shared" ref="Q6" si="4">P6/O6-1</f>
        <v>5.1914241960183682E-2</v>
      </c>
    </row>
    <row r="7" spans="1:17" s="40" customFormat="1" ht="12" customHeight="1" x14ac:dyDescent="0.2">
      <c r="A7" s="25" t="s">
        <v>57</v>
      </c>
      <c r="B7" s="26">
        <v>87</v>
      </c>
      <c r="C7" s="26">
        <v>56</v>
      </c>
      <c r="D7" s="26">
        <v>35</v>
      </c>
      <c r="E7" s="22">
        <f>D7/C7-1</f>
        <v>-0.375</v>
      </c>
      <c r="F7" s="26">
        <v>243</v>
      </c>
      <c r="G7" s="26">
        <v>159</v>
      </c>
      <c r="H7" s="26">
        <v>203</v>
      </c>
      <c r="I7" s="15">
        <f>H7/G7-1</f>
        <v>0.27672955974842761</v>
      </c>
      <c r="J7" s="13">
        <v>3182</v>
      </c>
      <c r="K7" s="13">
        <v>2895</v>
      </c>
      <c r="L7" s="13">
        <v>2831</v>
      </c>
      <c r="M7" s="22">
        <f>L7/K7-1</f>
        <v>-2.2107081174438714E-2</v>
      </c>
      <c r="N7" s="13">
        <f t="shared" si="1"/>
        <v>3512</v>
      </c>
      <c r="O7" s="13">
        <f t="shared" si="1"/>
        <v>3110</v>
      </c>
      <c r="P7" s="13">
        <f t="shared" si="1"/>
        <v>3069</v>
      </c>
      <c r="Q7" s="15">
        <f>P7/O7-1</f>
        <v>-1.318327974276523E-2</v>
      </c>
    </row>
    <row r="8" spans="1:17" s="40" customFormat="1" ht="12" customHeight="1" thickBot="1" x14ac:dyDescent="0.25">
      <c r="A8" s="27" t="s">
        <v>0</v>
      </c>
      <c r="B8" s="23">
        <f>SUM(B5:B7)</f>
        <v>145</v>
      </c>
      <c r="C8" s="16">
        <f t="shared" ref="C8:D8" si="5">SUM(C5:C7)</f>
        <v>105</v>
      </c>
      <c r="D8" s="16">
        <f t="shared" si="5"/>
        <v>76</v>
      </c>
      <c r="E8" s="24">
        <f>D8/C8-1</f>
        <v>-0.27619047619047621</v>
      </c>
      <c r="F8" s="16">
        <f t="shared" ref="F8:H8" si="6">SUM(F5:F7)</f>
        <v>418</v>
      </c>
      <c r="G8" s="16">
        <f t="shared" si="6"/>
        <v>366</v>
      </c>
      <c r="H8" s="16">
        <f t="shared" si="6"/>
        <v>425</v>
      </c>
      <c r="I8" s="17">
        <f>H8/G8-1</f>
        <v>0.16120218579234979</v>
      </c>
      <c r="J8" s="23">
        <f t="shared" ref="J8:L8" si="7">SUM(J5:J7)</f>
        <v>10667</v>
      </c>
      <c r="K8" s="16">
        <f t="shared" si="7"/>
        <v>9201</v>
      </c>
      <c r="L8" s="16">
        <f t="shared" si="7"/>
        <v>9497</v>
      </c>
      <c r="M8" s="24">
        <f>L8/K8-1</f>
        <v>3.217041625910233E-2</v>
      </c>
      <c r="N8" s="16">
        <f t="shared" ref="N8:P8" si="8">SUM(N5:N7)</f>
        <v>11230</v>
      </c>
      <c r="O8" s="16">
        <f t="shared" si="8"/>
        <v>9672</v>
      </c>
      <c r="P8" s="16">
        <f t="shared" si="8"/>
        <v>9998</v>
      </c>
      <c r="Q8" s="17">
        <f>P8/O8-1</f>
        <v>3.3705541770057801E-2</v>
      </c>
    </row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ht="12" customHeight="1" x14ac:dyDescent="0.3"/>
    <row r="30" ht="12" customHeight="1" x14ac:dyDescent="0.3"/>
    <row r="31" ht="12" customHeight="1" x14ac:dyDescent="0.3"/>
    <row r="32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5" orientation="portrait" r:id="rId1"/>
  <ignoredErrors>
    <ignoredError sqref="B8:H8 N8:Q8" formulaRange="1"/>
    <ignoredError sqref="I8:M8" formula="1" formulaRange="1"/>
  </ignoredError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BE84-8938-4D9E-9809-8C5FBAE34BB4}">
  <sheetPr codeName="Planilha42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198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74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206</v>
      </c>
      <c r="B5" s="26">
        <v>77</v>
      </c>
      <c r="C5" s="26">
        <v>42</v>
      </c>
      <c r="D5" s="26">
        <v>37</v>
      </c>
      <c r="E5" s="22">
        <f>D5/C5-1</f>
        <v>-0.11904761904761907</v>
      </c>
      <c r="F5" s="26">
        <v>184</v>
      </c>
      <c r="G5" s="26">
        <v>184</v>
      </c>
      <c r="H5" s="26">
        <v>215</v>
      </c>
      <c r="I5" s="15">
        <f>H5/G5-1</f>
        <v>0.16847826086956519</v>
      </c>
      <c r="J5" s="13">
        <v>7326</v>
      </c>
      <c r="K5" s="13">
        <v>6188</v>
      </c>
      <c r="L5" s="13">
        <v>6470</v>
      </c>
      <c r="M5" s="22">
        <f>L5/K5-1</f>
        <v>4.557207498383975E-2</v>
      </c>
      <c r="N5" s="13">
        <f t="shared" ref="N5:P6" si="0">B5+F5+J5</f>
        <v>7587</v>
      </c>
      <c r="O5" s="68">
        <f t="shared" si="0"/>
        <v>6414</v>
      </c>
      <c r="P5" s="68">
        <f t="shared" si="0"/>
        <v>6722</v>
      </c>
      <c r="Q5" s="81">
        <f>P5/O5-1</f>
        <v>4.8019956345494164E-2</v>
      </c>
    </row>
    <row r="6" spans="1:17" s="40" customFormat="1" ht="12" customHeight="1" x14ac:dyDescent="0.2">
      <c r="A6" s="25" t="s">
        <v>207</v>
      </c>
      <c r="B6" s="26">
        <v>68</v>
      </c>
      <c r="C6" s="26">
        <v>63</v>
      </c>
      <c r="D6" s="26">
        <v>39</v>
      </c>
      <c r="E6" s="22">
        <f t="shared" ref="E6" si="1">D6/C6-1</f>
        <v>-0.38095238095238093</v>
      </c>
      <c r="F6" s="26">
        <v>234</v>
      </c>
      <c r="G6" s="26">
        <v>182</v>
      </c>
      <c r="H6" s="26">
        <v>210</v>
      </c>
      <c r="I6" s="15">
        <f t="shared" ref="I6" si="2">H6/G6-1</f>
        <v>0.15384615384615374</v>
      </c>
      <c r="J6" s="13">
        <v>3341</v>
      </c>
      <c r="K6" s="13">
        <v>3013</v>
      </c>
      <c r="L6" s="13">
        <v>3027</v>
      </c>
      <c r="M6" s="22">
        <f t="shared" ref="M6" si="3">L6/K6-1</f>
        <v>4.6465316959840575E-3</v>
      </c>
      <c r="N6" s="13">
        <f t="shared" si="0"/>
        <v>3643</v>
      </c>
      <c r="O6" s="13">
        <f t="shared" si="0"/>
        <v>3258</v>
      </c>
      <c r="P6" s="13">
        <f t="shared" si="0"/>
        <v>3276</v>
      </c>
      <c r="Q6" s="15">
        <f t="shared" ref="Q6" si="4">P6/O6-1</f>
        <v>5.5248618784531356E-3</v>
      </c>
    </row>
    <row r="7" spans="1:17" s="40" customFormat="1" ht="12" customHeight="1" thickBot="1" x14ac:dyDescent="0.25">
      <c r="A7" s="27" t="s">
        <v>0</v>
      </c>
      <c r="B7" s="23">
        <f>SUM(B5:B6)</f>
        <v>145</v>
      </c>
      <c r="C7" s="16">
        <f>SUM(C5:C6)</f>
        <v>105</v>
      </c>
      <c r="D7" s="16">
        <f>SUM(D5:D6)</f>
        <v>76</v>
      </c>
      <c r="E7" s="24">
        <f>D7/C7-1</f>
        <v>-0.27619047619047621</v>
      </c>
      <c r="F7" s="16">
        <f>SUM(F5:F6)</f>
        <v>418</v>
      </c>
      <c r="G7" s="16">
        <f>SUM(G5:G6)</f>
        <v>366</v>
      </c>
      <c r="H7" s="16">
        <f>SUM(H5:H6)</f>
        <v>425</v>
      </c>
      <c r="I7" s="17">
        <f>H7/G7-1</f>
        <v>0.16120218579234979</v>
      </c>
      <c r="J7" s="23">
        <f>SUM(J5:J6)</f>
        <v>10667</v>
      </c>
      <c r="K7" s="16">
        <f>SUM(K5:K6)</f>
        <v>9201</v>
      </c>
      <c r="L7" s="16">
        <f>SUM(L5:L6)</f>
        <v>9497</v>
      </c>
      <c r="M7" s="24">
        <f>L7/K7-1</f>
        <v>3.217041625910233E-2</v>
      </c>
      <c r="N7" s="16">
        <f>SUM(N5:N6)</f>
        <v>11230</v>
      </c>
      <c r="O7" s="16">
        <f>SUM(O5:O6)</f>
        <v>9672</v>
      </c>
      <c r="P7" s="16">
        <f>SUM(P5:P6)</f>
        <v>9998</v>
      </c>
      <c r="Q7" s="17">
        <f>P7/O7-1</f>
        <v>3.3705541770057801E-2</v>
      </c>
    </row>
    <row r="8" spans="1:17" s="40" customFormat="1" ht="12" customHeight="1" x14ac:dyDescent="0.2"/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2" orientation="portrait" r:id="rId1"/>
  <ignoredErrors>
    <ignoredError sqref="B7:D7 N7:Q7" formulaRange="1"/>
    <ignoredError sqref="E7:M7" formula="1" formulaRange="1"/>
  </ignoredError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CFA6-E772-4FB6-9784-28D6A90F7882}">
  <sheetPr codeName="Planilha43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199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144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280</v>
      </c>
      <c r="B5" s="26">
        <v>23</v>
      </c>
      <c r="C5" s="26">
        <v>14</v>
      </c>
      <c r="D5" s="26">
        <v>6</v>
      </c>
      <c r="E5" s="22">
        <f t="shared" ref="E5:E12" si="0">D5/C5-1</f>
        <v>-0.5714285714285714</v>
      </c>
      <c r="F5" s="26">
        <v>67</v>
      </c>
      <c r="G5" s="26">
        <v>47</v>
      </c>
      <c r="H5" s="26">
        <v>40</v>
      </c>
      <c r="I5" s="15">
        <f t="shared" ref="I5:I12" si="1">H5/G5-1</f>
        <v>-0.14893617021276595</v>
      </c>
      <c r="J5" s="13">
        <v>1140</v>
      </c>
      <c r="K5" s="26">
        <v>1032</v>
      </c>
      <c r="L5" s="13">
        <v>1084</v>
      </c>
      <c r="M5" s="22">
        <f t="shared" ref="M5:M12" si="2">L5/K5-1</f>
        <v>5.0387596899224896E-2</v>
      </c>
      <c r="N5" s="13">
        <f t="shared" ref="N5:P12" si="3">B5+F5+J5</f>
        <v>1230</v>
      </c>
      <c r="O5" s="68">
        <f t="shared" si="3"/>
        <v>1093</v>
      </c>
      <c r="P5" s="68">
        <f t="shared" si="3"/>
        <v>1130</v>
      </c>
      <c r="Q5" s="81">
        <f t="shared" ref="Q5:Q12" si="4">P5/O5-1</f>
        <v>3.385178408051237E-2</v>
      </c>
    </row>
    <row r="6" spans="1:17" s="40" customFormat="1" ht="12" customHeight="1" x14ac:dyDescent="0.2">
      <c r="A6" s="25" t="s">
        <v>281</v>
      </c>
      <c r="B6" s="26">
        <v>61</v>
      </c>
      <c r="C6" s="26">
        <v>22</v>
      </c>
      <c r="D6" s="26">
        <v>22</v>
      </c>
      <c r="E6" s="22">
        <f t="shared" si="0"/>
        <v>0</v>
      </c>
      <c r="F6" s="26">
        <v>136</v>
      </c>
      <c r="G6" s="26">
        <v>106</v>
      </c>
      <c r="H6" s="26">
        <v>125</v>
      </c>
      <c r="I6" s="15">
        <f t="shared" si="1"/>
        <v>0.179245283018868</v>
      </c>
      <c r="J6" s="13">
        <v>5624</v>
      </c>
      <c r="K6" s="13">
        <v>4415</v>
      </c>
      <c r="L6" s="13">
        <v>4665</v>
      </c>
      <c r="M6" s="22">
        <f t="shared" si="2"/>
        <v>5.6625141562853809E-2</v>
      </c>
      <c r="N6" s="13">
        <f t="shared" si="3"/>
        <v>5821</v>
      </c>
      <c r="O6" s="13">
        <f t="shared" si="3"/>
        <v>4543</v>
      </c>
      <c r="P6" s="13">
        <f t="shared" si="3"/>
        <v>4812</v>
      </c>
      <c r="Q6" s="15">
        <f t="shared" si="4"/>
        <v>5.9211974466211847E-2</v>
      </c>
    </row>
    <row r="7" spans="1:17" s="40" customFormat="1" ht="12" customHeight="1" x14ac:dyDescent="0.2">
      <c r="A7" s="25" t="s">
        <v>282</v>
      </c>
      <c r="B7" s="26">
        <v>8</v>
      </c>
      <c r="C7" s="26">
        <v>5</v>
      </c>
      <c r="D7" s="26">
        <v>1</v>
      </c>
      <c r="E7" s="22">
        <f t="shared" si="0"/>
        <v>-0.8</v>
      </c>
      <c r="F7" s="26">
        <v>36</v>
      </c>
      <c r="G7" s="26">
        <v>21</v>
      </c>
      <c r="H7" s="26">
        <v>28</v>
      </c>
      <c r="I7" s="15">
        <f t="shared" si="1"/>
        <v>0.33333333333333326</v>
      </c>
      <c r="J7" s="26">
        <v>448</v>
      </c>
      <c r="K7" s="26">
        <v>381</v>
      </c>
      <c r="L7" s="26">
        <v>313</v>
      </c>
      <c r="M7" s="22">
        <f t="shared" si="2"/>
        <v>-0.17847769028871396</v>
      </c>
      <c r="N7" s="13">
        <f t="shared" si="3"/>
        <v>492</v>
      </c>
      <c r="O7" s="13">
        <f t="shared" si="3"/>
        <v>407</v>
      </c>
      <c r="P7" s="13">
        <f t="shared" si="3"/>
        <v>342</v>
      </c>
      <c r="Q7" s="15">
        <f t="shared" si="4"/>
        <v>-0.15970515970515975</v>
      </c>
    </row>
    <row r="8" spans="1:17" s="40" customFormat="1" ht="12" customHeight="1" x14ac:dyDescent="0.2">
      <c r="A8" s="25" t="s">
        <v>283</v>
      </c>
      <c r="B8" s="26">
        <v>35</v>
      </c>
      <c r="C8" s="26">
        <v>33</v>
      </c>
      <c r="D8" s="26">
        <v>25</v>
      </c>
      <c r="E8" s="22">
        <f t="shared" si="0"/>
        <v>-0.24242424242424243</v>
      </c>
      <c r="F8" s="26">
        <v>111</v>
      </c>
      <c r="G8" s="26">
        <v>131</v>
      </c>
      <c r="H8" s="26">
        <v>149</v>
      </c>
      <c r="I8" s="15">
        <f t="shared" si="1"/>
        <v>0.13740458015267176</v>
      </c>
      <c r="J8" s="13">
        <v>2374</v>
      </c>
      <c r="K8" s="13">
        <v>2275</v>
      </c>
      <c r="L8" s="13">
        <v>2315</v>
      </c>
      <c r="M8" s="22">
        <f t="shared" si="2"/>
        <v>1.758241758241752E-2</v>
      </c>
      <c r="N8" s="13">
        <f t="shared" si="3"/>
        <v>2520</v>
      </c>
      <c r="O8" s="13">
        <f t="shared" si="3"/>
        <v>2439</v>
      </c>
      <c r="P8" s="13">
        <f t="shared" si="3"/>
        <v>2489</v>
      </c>
      <c r="Q8" s="15">
        <f t="shared" si="4"/>
        <v>2.0500205002049965E-2</v>
      </c>
    </row>
    <row r="9" spans="1:17" s="40" customFormat="1" ht="12" customHeight="1" x14ac:dyDescent="0.2">
      <c r="A9" s="25" t="s">
        <v>284</v>
      </c>
      <c r="B9" s="26">
        <v>3</v>
      </c>
      <c r="C9" s="26">
        <v>7</v>
      </c>
      <c r="D9" s="26">
        <v>4</v>
      </c>
      <c r="E9" s="22">
        <f t="shared" si="0"/>
        <v>-0.4285714285714286</v>
      </c>
      <c r="F9" s="26">
        <v>6</v>
      </c>
      <c r="G9" s="26">
        <v>10</v>
      </c>
      <c r="H9" s="26">
        <v>13</v>
      </c>
      <c r="I9" s="15">
        <f t="shared" si="1"/>
        <v>0.30000000000000004</v>
      </c>
      <c r="J9" s="26">
        <v>140</v>
      </c>
      <c r="K9" s="26">
        <v>167</v>
      </c>
      <c r="L9" s="26">
        <v>191</v>
      </c>
      <c r="M9" s="22">
        <f t="shared" si="2"/>
        <v>0.14371257485029942</v>
      </c>
      <c r="N9" s="13">
        <f t="shared" si="3"/>
        <v>149</v>
      </c>
      <c r="O9" s="13">
        <f t="shared" si="3"/>
        <v>184</v>
      </c>
      <c r="P9" s="13">
        <f t="shared" si="3"/>
        <v>208</v>
      </c>
      <c r="Q9" s="15">
        <f t="shared" si="4"/>
        <v>0.13043478260869557</v>
      </c>
    </row>
    <row r="10" spans="1:17" s="40" customFormat="1" ht="12" customHeight="1" x14ac:dyDescent="0.2">
      <c r="A10" s="25" t="s">
        <v>285</v>
      </c>
      <c r="B10" s="26">
        <v>6</v>
      </c>
      <c r="C10" s="26">
        <v>9</v>
      </c>
      <c r="D10" s="26">
        <v>4</v>
      </c>
      <c r="E10" s="22">
        <f t="shared" si="0"/>
        <v>-0.55555555555555558</v>
      </c>
      <c r="F10" s="26">
        <v>24</v>
      </c>
      <c r="G10" s="26">
        <v>13</v>
      </c>
      <c r="H10" s="26">
        <v>16</v>
      </c>
      <c r="I10" s="15">
        <f t="shared" si="1"/>
        <v>0.23076923076923084</v>
      </c>
      <c r="J10" s="26">
        <v>389</v>
      </c>
      <c r="K10" s="26">
        <v>340</v>
      </c>
      <c r="L10" s="26">
        <v>330</v>
      </c>
      <c r="M10" s="22">
        <f t="shared" si="2"/>
        <v>-2.9411764705882359E-2</v>
      </c>
      <c r="N10" s="13">
        <f t="shared" si="3"/>
        <v>419</v>
      </c>
      <c r="O10" s="13">
        <f t="shared" si="3"/>
        <v>362</v>
      </c>
      <c r="P10" s="13">
        <f t="shared" si="3"/>
        <v>350</v>
      </c>
      <c r="Q10" s="15">
        <f t="shared" si="4"/>
        <v>-3.3149171270718258E-2</v>
      </c>
    </row>
    <row r="11" spans="1:17" s="40" customFormat="1" ht="12" customHeight="1" x14ac:dyDescent="0.2">
      <c r="A11" s="25" t="s">
        <v>286</v>
      </c>
      <c r="B11" s="26">
        <v>5</v>
      </c>
      <c r="C11" s="26">
        <v>5</v>
      </c>
      <c r="D11" s="26">
        <v>5</v>
      </c>
      <c r="E11" s="22">
        <f t="shared" si="0"/>
        <v>0</v>
      </c>
      <c r="F11" s="26">
        <v>12</v>
      </c>
      <c r="G11" s="26">
        <v>8</v>
      </c>
      <c r="H11" s="26">
        <v>8</v>
      </c>
      <c r="I11" s="15">
        <f t="shared" si="1"/>
        <v>0</v>
      </c>
      <c r="J11" s="26">
        <v>123</v>
      </c>
      <c r="K11" s="26">
        <v>87</v>
      </c>
      <c r="L11" s="26">
        <v>98</v>
      </c>
      <c r="M11" s="22">
        <f t="shared" si="2"/>
        <v>0.12643678160919536</v>
      </c>
      <c r="N11" s="13">
        <f t="shared" si="3"/>
        <v>140</v>
      </c>
      <c r="O11" s="13">
        <f t="shared" si="3"/>
        <v>100</v>
      </c>
      <c r="P11" s="13">
        <f t="shared" si="3"/>
        <v>111</v>
      </c>
      <c r="Q11" s="15">
        <f t="shared" si="4"/>
        <v>0.1100000000000001</v>
      </c>
    </row>
    <row r="12" spans="1:17" s="40" customFormat="1" ht="12" customHeight="1" x14ac:dyDescent="0.2">
      <c r="A12" s="25" t="s">
        <v>291</v>
      </c>
      <c r="B12" s="26">
        <v>4</v>
      </c>
      <c r="C12" s="26">
        <v>10</v>
      </c>
      <c r="D12" s="26">
        <v>9</v>
      </c>
      <c r="E12" s="22">
        <f t="shared" si="0"/>
        <v>-9.9999999999999978E-2</v>
      </c>
      <c r="F12" s="26">
        <v>26</v>
      </c>
      <c r="G12" s="26">
        <v>30</v>
      </c>
      <c r="H12" s="26">
        <v>46</v>
      </c>
      <c r="I12" s="15">
        <f t="shared" si="1"/>
        <v>0.53333333333333344</v>
      </c>
      <c r="J12" s="26">
        <v>429</v>
      </c>
      <c r="K12" s="26">
        <v>504</v>
      </c>
      <c r="L12" s="26">
        <v>501</v>
      </c>
      <c r="M12" s="22">
        <f t="shared" si="2"/>
        <v>-5.9523809523809312E-3</v>
      </c>
      <c r="N12" s="13">
        <f t="shared" si="3"/>
        <v>459</v>
      </c>
      <c r="O12" s="13">
        <f t="shared" si="3"/>
        <v>544</v>
      </c>
      <c r="P12" s="13">
        <f t="shared" si="3"/>
        <v>556</v>
      </c>
      <c r="Q12" s="15">
        <f t="shared" si="4"/>
        <v>2.2058823529411686E-2</v>
      </c>
    </row>
    <row r="13" spans="1:17" s="40" customFormat="1" ht="12" customHeight="1" thickBot="1" x14ac:dyDescent="0.25">
      <c r="A13" s="27" t="s">
        <v>0</v>
      </c>
      <c r="B13" s="23">
        <f>SUM(B5:B12)</f>
        <v>145</v>
      </c>
      <c r="C13" s="16">
        <f t="shared" ref="C13:D13" si="5">SUM(C5:C12)</f>
        <v>105</v>
      </c>
      <c r="D13" s="16">
        <f t="shared" si="5"/>
        <v>76</v>
      </c>
      <c r="E13" s="24">
        <f>D13/C13-1</f>
        <v>-0.27619047619047621</v>
      </c>
      <c r="F13" s="16">
        <f t="shared" ref="F13:H13" si="6">SUM(F5:F12)</f>
        <v>418</v>
      </c>
      <c r="G13" s="16">
        <f t="shared" si="6"/>
        <v>366</v>
      </c>
      <c r="H13" s="16">
        <f t="shared" si="6"/>
        <v>425</v>
      </c>
      <c r="I13" s="17">
        <f>H13/G13-1</f>
        <v>0.16120218579234979</v>
      </c>
      <c r="J13" s="23">
        <f t="shared" ref="J13:L13" si="7">SUM(J5:J12)</f>
        <v>10667</v>
      </c>
      <c r="K13" s="16">
        <f t="shared" si="7"/>
        <v>9201</v>
      </c>
      <c r="L13" s="16">
        <f t="shared" si="7"/>
        <v>9497</v>
      </c>
      <c r="M13" s="24">
        <f>L13/K13-1</f>
        <v>3.217041625910233E-2</v>
      </c>
      <c r="N13" s="16">
        <f>SUM(N5:N12)</f>
        <v>11230</v>
      </c>
      <c r="O13" s="16">
        <f t="shared" ref="O13:P13" si="8">SUM(O5:O12)</f>
        <v>9672</v>
      </c>
      <c r="P13" s="16">
        <f t="shared" si="8"/>
        <v>9998</v>
      </c>
      <c r="Q13" s="17">
        <f>P13/O13-1</f>
        <v>3.3705541770057801E-2</v>
      </c>
    </row>
    <row r="14" spans="1:17" s="40" customFormat="1" ht="8.25" customHeight="1" x14ac:dyDescent="0.2">
      <c r="A14" s="40" t="s">
        <v>208</v>
      </c>
    </row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8" orientation="portrait" r:id="rId1"/>
  <ignoredErrors>
    <ignoredError sqref="B13:H13" formulaRange="1"/>
    <ignoredError sqref="I13:M13" formula="1" formulaRange="1"/>
  </ignoredError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5CCC-E739-4F31-A500-F8634A7ED9C0}">
  <sheetPr codeName="Planilha44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350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348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4</v>
      </c>
      <c r="B5" s="26">
        <v>3</v>
      </c>
      <c r="C5" s="26">
        <v>9</v>
      </c>
      <c r="D5" s="26">
        <v>7</v>
      </c>
      <c r="E5" s="22">
        <f>D5/C5-1</f>
        <v>-0.22222222222222221</v>
      </c>
      <c r="F5" s="26">
        <v>28</v>
      </c>
      <c r="G5" s="26">
        <v>30</v>
      </c>
      <c r="H5" s="26">
        <v>27</v>
      </c>
      <c r="I5" s="15">
        <f>H5/G5-1</f>
        <v>-9.9999999999999978E-2</v>
      </c>
      <c r="J5" s="26">
        <v>723</v>
      </c>
      <c r="K5" s="26">
        <v>652</v>
      </c>
      <c r="L5" s="26">
        <v>689</v>
      </c>
      <c r="M5" s="22">
        <f>L5/K5-1</f>
        <v>5.6748466257668717E-2</v>
      </c>
      <c r="N5" s="13">
        <f t="shared" ref="N5:N24" si="0">B5+F5+J5</f>
        <v>754</v>
      </c>
      <c r="O5" s="68">
        <f t="shared" ref="O5:O24" si="1">C5+G5+K5</f>
        <v>691</v>
      </c>
      <c r="P5" s="68">
        <f t="shared" ref="P5:P24" si="2">D5+H5+L5</f>
        <v>723</v>
      </c>
      <c r="Q5" s="81">
        <f>P5/O5-1</f>
        <v>4.6309696092619479E-2</v>
      </c>
    </row>
    <row r="6" spans="1:17" s="40" customFormat="1" ht="12" customHeight="1" x14ac:dyDescent="0.2">
      <c r="A6" s="25" t="s">
        <v>5</v>
      </c>
      <c r="B6" s="26">
        <v>13</v>
      </c>
      <c r="C6" s="26">
        <v>7</v>
      </c>
      <c r="D6" s="26">
        <v>7</v>
      </c>
      <c r="E6" s="22">
        <f t="shared" ref="E6:E24" si="3">D6/C6-1</f>
        <v>0</v>
      </c>
      <c r="F6" s="26">
        <v>20</v>
      </c>
      <c r="G6" s="26">
        <v>13</v>
      </c>
      <c r="H6" s="26">
        <v>24</v>
      </c>
      <c r="I6" s="15">
        <f t="shared" ref="I6:I24" si="4">H6/G6-1</f>
        <v>0.84615384615384626</v>
      </c>
      <c r="J6" s="26">
        <v>186</v>
      </c>
      <c r="K6" s="26">
        <v>180</v>
      </c>
      <c r="L6" s="26">
        <v>168</v>
      </c>
      <c r="M6" s="22">
        <f t="shared" ref="M6:M24" si="5">L6/K6-1</f>
        <v>-6.6666666666666652E-2</v>
      </c>
      <c r="N6" s="13">
        <f t="shared" si="0"/>
        <v>219</v>
      </c>
      <c r="O6" s="13">
        <f t="shared" si="1"/>
        <v>200</v>
      </c>
      <c r="P6" s="13">
        <f t="shared" si="2"/>
        <v>199</v>
      </c>
      <c r="Q6" s="15">
        <f t="shared" ref="Q6:Q24" si="6">P6/O6-1</f>
        <v>-5.0000000000000044E-3</v>
      </c>
    </row>
    <row r="7" spans="1:17" s="40" customFormat="1" ht="12" customHeight="1" x14ac:dyDescent="0.2">
      <c r="A7" s="25" t="s">
        <v>6</v>
      </c>
      <c r="B7" s="26">
        <v>5</v>
      </c>
      <c r="C7" s="26">
        <v>6</v>
      </c>
      <c r="D7" s="26">
        <v>0</v>
      </c>
      <c r="E7" s="22">
        <f t="shared" si="3"/>
        <v>-1</v>
      </c>
      <c r="F7" s="26">
        <v>23</v>
      </c>
      <c r="G7" s="26">
        <v>25</v>
      </c>
      <c r="H7" s="26">
        <v>35</v>
      </c>
      <c r="I7" s="15">
        <f t="shared" si="4"/>
        <v>0.39999999999999991</v>
      </c>
      <c r="J7" s="26">
        <v>980</v>
      </c>
      <c r="K7" s="26">
        <v>824</v>
      </c>
      <c r="L7" s="26">
        <v>850</v>
      </c>
      <c r="M7" s="22">
        <f t="shared" si="5"/>
        <v>3.1553398058252524E-2</v>
      </c>
      <c r="N7" s="13">
        <f t="shared" si="0"/>
        <v>1008</v>
      </c>
      <c r="O7" s="13">
        <f t="shared" si="1"/>
        <v>855</v>
      </c>
      <c r="P7" s="13">
        <f t="shared" si="2"/>
        <v>885</v>
      </c>
      <c r="Q7" s="15">
        <f t="shared" si="6"/>
        <v>3.5087719298245723E-2</v>
      </c>
    </row>
    <row r="8" spans="1:17" s="40" customFormat="1" ht="12" customHeight="1" x14ac:dyDescent="0.2">
      <c r="A8" s="25" t="s">
        <v>7</v>
      </c>
      <c r="B8" s="26">
        <v>0</v>
      </c>
      <c r="C8" s="26">
        <v>0</v>
      </c>
      <c r="D8" s="26">
        <v>2</v>
      </c>
      <c r="E8" s="22" t="s">
        <v>62</v>
      </c>
      <c r="F8" s="26">
        <v>13</v>
      </c>
      <c r="G8" s="26">
        <v>5</v>
      </c>
      <c r="H8" s="26">
        <v>16</v>
      </c>
      <c r="I8" s="15">
        <f t="shared" si="4"/>
        <v>2.2000000000000002</v>
      </c>
      <c r="J8" s="26">
        <v>129</v>
      </c>
      <c r="K8" s="26">
        <v>138</v>
      </c>
      <c r="L8" s="26">
        <v>121</v>
      </c>
      <c r="M8" s="22">
        <f t="shared" si="5"/>
        <v>-0.12318840579710144</v>
      </c>
      <c r="N8" s="13">
        <f t="shared" si="0"/>
        <v>142</v>
      </c>
      <c r="O8" s="13">
        <f t="shared" si="1"/>
        <v>143</v>
      </c>
      <c r="P8" s="13">
        <f t="shared" si="2"/>
        <v>139</v>
      </c>
      <c r="Q8" s="15">
        <f t="shared" si="6"/>
        <v>-2.7972027972028024E-2</v>
      </c>
    </row>
    <row r="9" spans="1:17" s="40" customFormat="1" ht="12" customHeight="1" x14ac:dyDescent="0.2">
      <c r="A9" s="25" t="s">
        <v>75</v>
      </c>
      <c r="B9" s="26">
        <v>6</v>
      </c>
      <c r="C9" s="26">
        <v>4</v>
      </c>
      <c r="D9" s="26">
        <v>1</v>
      </c>
      <c r="E9" s="22">
        <f t="shared" si="3"/>
        <v>-0.75</v>
      </c>
      <c r="F9" s="26">
        <v>12</v>
      </c>
      <c r="G9" s="26">
        <v>11</v>
      </c>
      <c r="H9" s="26">
        <v>9</v>
      </c>
      <c r="I9" s="15">
        <f t="shared" si="4"/>
        <v>-0.18181818181818177</v>
      </c>
      <c r="J9" s="26">
        <v>178</v>
      </c>
      <c r="K9" s="26">
        <v>196</v>
      </c>
      <c r="L9" s="26">
        <v>143</v>
      </c>
      <c r="M9" s="22">
        <f t="shared" si="5"/>
        <v>-0.27040816326530615</v>
      </c>
      <c r="N9" s="13">
        <f t="shared" si="0"/>
        <v>196</v>
      </c>
      <c r="O9" s="13">
        <f t="shared" si="1"/>
        <v>211</v>
      </c>
      <c r="P9" s="13">
        <f t="shared" si="2"/>
        <v>153</v>
      </c>
      <c r="Q9" s="15">
        <f t="shared" si="6"/>
        <v>-0.27488151658767768</v>
      </c>
    </row>
    <row r="10" spans="1:17" s="40" customFormat="1" ht="12" customHeight="1" x14ac:dyDescent="0.2">
      <c r="A10" s="25" t="s">
        <v>8</v>
      </c>
      <c r="B10" s="26">
        <v>8</v>
      </c>
      <c r="C10" s="26">
        <v>4</v>
      </c>
      <c r="D10" s="26">
        <v>4</v>
      </c>
      <c r="E10" s="22">
        <f t="shared" si="3"/>
        <v>0</v>
      </c>
      <c r="F10" s="26">
        <v>10</v>
      </c>
      <c r="G10" s="26">
        <v>15</v>
      </c>
      <c r="H10" s="26">
        <v>13</v>
      </c>
      <c r="I10" s="15">
        <f t="shared" si="4"/>
        <v>-0.1333333333333333</v>
      </c>
      <c r="J10" s="26">
        <v>435</v>
      </c>
      <c r="K10" s="26">
        <v>375</v>
      </c>
      <c r="L10" s="26">
        <v>405</v>
      </c>
      <c r="M10" s="22">
        <f t="shared" si="5"/>
        <v>8.0000000000000071E-2</v>
      </c>
      <c r="N10" s="13">
        <f t="shared" si="0"/>
        <v>453</v>
      </c>
      <c r="O10" s="13">
        <f t="shared" si="1"/>
        <v>394</v>
      </c>
      <c r="P10" s="13">
        <f t="shared" si="2"/>
        <v>422</v>
      </c>
      <c r="Q10" s="15">
        <f t="shared" si="6"/>
        <v>7.1065989847715727E-2</v>
      </c>
    </row>
    <row r="11" spans="1:17" s="40" customFormat="1" ht="12" customHeight="1" x14ac:dyDescent="0.2">
      <c r="A11" s="25" t="s">
        <v>9</v>
      </c>
      <c r="B11" s="26">
        <v>5</v>
      </c>
      <c r="C11" s="26">
        <v>4</v>
      </c>
      <c r="D11" s="26">
        <v>4</v>
      </c>
      <c r="E11" s="22">
        <f t="shared" si="3"/>
        <v>0</v>
      </c>
      <c r="F11" s="26">
        <v>18</v>
      </c>
      <c r="G11" s="26">
        <v>18</v>
      </c>
      <c r="H11" s="26">
        <v>20</v>
      </c>
      <c r="I11" s="15">
        <f t="shared" si="4"/>
        <v>0.11111111111111116</v>
      </c>
      <c r="J11" s="26">
        <v>166</v>
      </c>
      <c r="K11" s="26">
        <v>138</v>
      </c>
      <c r="L11" s="26">
        <v>136</v>
      </c>
      <c r="M11" s="22">
        <f t="shared" si="5"/>
        <v>-1.4492753623188359E-2</v>
      </c>
      <c r="N11" s="13">
        <f t="shared" si="0"/>
        <v>189</v>
      </c>
      <c r="O11" s="13">
        <f t="shared" si="1"/>
        <v>160</v>
      </c>
      <c r="P11" s="13">
        <f t="shared" si="2"/>
        <v>160</v>
      </c>
      <c r="Q11" s="15">
        <f t="shared" si="6"/>
        <v>0</v>
      </c>
    </row>
    <row r="12" spans="1:17" s="40" customFormat="1" ht="12" customHeight="1" x14ac:dyDescent="0.2">
      <c r="A12" s="25" t="s">
        <v>3</v>
      </c>
      <c r="B12" s="26">
        <v>4</v>
      </c>
      <c r="C12" s="26">
        <v>6</v>
      </c>
      <c r="D12" s="26">
        <v>1</v>
      </c>
      <c r="E12" s="22">
        <f t="shared" si="3"/>
        <v>-0.83333333333333337</v>
      </c>
      <c r="F12" s="26">
        <v>35</v>
      </c>
      <c r="G12" s="26">
        <v>18</v>
      </c>
      <c r="H12" s="26">
        <v>26</v>
      </c>
      <c r="I12" s="15">
        <f t="shared" si="4"/>
        <v>0.44444444444444442</v>
      </c>
      <c r="J12" s="26">
        <v>543</v>
      </c>
      <c r="K12" s="26">
        <v>490</v>
      </c>
      <c r="L12" s="26">
        <v>476</v>
      </c>
      <c r="M12" s="22">
        <f t="shared" si="5"/>
        <v>-2.8571428571428581E-2</v>
      </c>
      <c r="N12" s="13">
        <f t="shared" si="0"/>
        <v>582</v>
      </c>
      <c r="O12" s="13">
        <f t="shared" si="1"/>
        <v>514</v>
      </c>
      <c r="P12" s="13">
        <f t="shared" si="2"/>
        <v>503</v>
      </c>
      <c r="Q12" s="15">
        <f t="shared" si="6"/>
        <v>-2.1400778210116767E-2</v>
      </c>
    </row>
    <row r="13" spans="1:17" s="40" customFormat="1" ht="12" customHeight="1" x14ac:dyDescent="0.2">
      <c r="A13" s="25" t="s">
        <v>10</v>
      </c>
      <c r="B13" s="26">
        <v>3</v>
      </c>
      <c r="C13" s="26">
        <v>5</v>
      </c>
      <c r="D13" s="26">
        <v>3</v>
      </c>
      <c r="E13" s="22">
        <f t="shared" si="3"/>
        <v>-0.4</v>
      </c>
      <c r="F13" s="26">
        <v>18</v>
      </c>
      <c r="G13" s="26">
        <v>17</v>
      </c>
      <c r="H13" s="26">
        <v>13</v>
      </c>
      <c r="I13" s="15">
        <f t="shared" si="4"/>
        <v>-0.23529411764705888</v>
      </c>
      <c r="J13" s="26">
        <v>143</v>
      </c>
      <c r="K13" s="26">
        <v>125</v>
      </c>
      <c r="L13" s="26">
        <v>135</v>
      </c>
      <c r="M13" s="22">
        <f t="shared" si="5"/>
        <v>8.0000000000000071E-2</v>
      </c>
      <c r="N13" s="13">
        <f t="shared" si="0"/>
        <v>164</v>
      </c>
      <c r="O13" s="13">
        <f t="shared" si="1"/>
        <v>147</v>
      </c>
      <c r="P13" s="13">
        <f t="shared" si="2"/>
        <v>151</v>
      </c>
      <c r="Q13" s="15">
        <f t="shared" si="6"/>
        <v>2.7210884353741527E-2</v>
      </c>
    </row>
    <row r="14" spans="1:17" s="40" customFormat="1" ht="12" customHeight="1" x14ac:dyDescent="0.2">
      <c r="A14" s="25" t="s">
        <v>11</v>
      </c>
      <c r="B14" s="26">
        <v>8</v>
      </c>
      <c r="C14" s="26">
        <v>4</v>
      </c>
      <c r="D14" s="26">
        <v>6</v>
      </c>
      <c r="E14" s="22">
        <f t="shared" si="3"/>
        <v>0.5</v>
      </c>
      <c r="F14" s="26">
        <v>22</v>
      </c>
      <c r="G14" s="26">
        <v>24</v>
      </c>
      <c r="H14" s="26">
        <v>30</v>
      </c>
      <c r="I14" s="15">
        <f t="shared" si="4"/>
        <v>0.25</v>
      </c>
      <c r="J14" s="26">
        <v>472</v>
      </c>
      <c r="K14" s="26">
        <v>466</v>
      </c>
      <c r="L14" s="26">
        <v>438</v>
      </c>
      <c r="M14" s="22">
        <f t="shared" si="5"/>
        <v>-6.0085836909871237E-2</v>
      </c>
      <c r="N14" s="13">
        <f t="shared" si="0"/>
        <v>502</v>
      </c>
      <c r="O14" s="13">
        <f t="shared" si="1"/>
        <v>494</v>
      </c>
      <c r="P14" s="13">
        <f t="shared" si="2"/>
        <v>474</v>
      </c>
      <c r="Q14" s="15">
        <f t="shared" si="6"/>
        <v>-4.0485829959514219E-2</v>
      </c>
    </row>
    <row r="15" spans="1:17" s="40" customFormat="1" ht="12" customHeight="1" x14ac:dyDescent="0.2">
      <c r="A15" s="25" t="s">
        <v>1</v>
      </c>
      <c r="B15" s="26">
        <v>11</v>
      </c>
      <c r="C15" s="26">
        <v>10</v>
      </c>
      <c r="D15" s="26">
        <v>9</v>
      </c>
      <c r="E15" s="22">
        <f t="shared" si="3"/>
        <v>-9.9999999999999978E-2</v>
      </c>
      <c r="F15" s="26">
        <v>34</v>
      </c>
      <c r="G15" s="26">
        <v>35</v>
      </c>
      <c r="H15" s="26">
        <v>38</v>
      </c>
      <c r="I15" s="15">
        <f t="shared" si="4"/>
        <v>8.5714285714285632E-2</v>
      </c>
      <c r="J15" s="13">
        <v>2090</v>
      </c>
      <c r="K15" s="13">
        <v>1646</v>
      </c>
      <c r="L15" s="13">
        <v>1771</v>
      </c>
      <c r="M15" s="22">
        <f t="shared" si="5"/>
        <v>7.5941676792223634E-2</v>
      </c>
      <c r="N15" s="13">
        <f t="shared" si="0"/>
        <v>2135</v>
      </c>
      <c r="O15" s="13">
        <f t="shared" si="1"/>
        <v>1691</v>
      </c>
      <c r="P15" s="13">
        <f t="shared" si="2"/>
        <v>1818</v>
      </c>
      <c r="Q15" s="15">
        <f t="shared" si="6"/>
        <v>7.5103489059727968E-2</v>
      </c>
    </row>
    <row r="16" spans="1:17" s="40" customFormat="1" ht="12" customHeight="1" x14ac:dyDescent="0.2">
      <c r="A16" s="25" t="s">
        <v>12</v>
      </c>
      <c r="B16" s="26">
        <v>1</v>
      </c>
      <c r="C16" s="26">
        <v>4</v>
      </c>
      <c r="D16" s="26">
        <v>0</v>
      </c>
      <c r="E16" s="22">
        <f t="shared" si="3"/>
        <v>-1</v>
      </c>
      <c r="F16" s="26">
        <v>13</v>
      </c>
      <c r="G16" s="26">
        <v>4</v>
      </c>
      <c r="H16" s="26">
        <v>15</v>
      </c>
      <c r="I16" s="15">
        <f t="shared" si="4"/>
        <v>2.75</v>
      </c>
      <c r="J16" s="26">
        <v>104</v>
      </c>
      <c r="K16" s="26">
        <v>101</v>
      </c>
      <c r="L16" s="26">
        <v>90</v>
      </c>
      <c r="M16" s="22">
        <f t="shared" si="5"/>
        <v>-0.1089108910891089</v>
      </c>
      <c r="N16" s="13">
        <f t="shared" si="0"/>
        <v>118</v>
      </c>
      <c r="O16" s="13">
        <f t="shared" si="1"/>
        <v>109</v>
      </c>
      <c r="P16" s="13">
        <f t="shared" si="2"/>
        <v>105</v>
      </c>
      <c r="Q16" s="15">
        <f t="shared" si="6"/>
        <v>-3.669724770642202E-2</v>
      </c>
    </row>
    <row r="17" spans="1:17" s="40" customFormat="1" ht="12" customHeight="1" x14ac:dyDescent="0.2">
      <c r="A17" s="25" t="s">
        <v>2</v>
      </c>
      <c r="B17" s="26">
        <v>18</v>
      </c>
      <c r="C17" s="26">
        <v>10</v>
      </c>
      <c r="D17" s="26">
        <v>8</v>
      </c>
      <c r="E17" s="22">
        <f t="shared" si="3"/>
        <v>-0.19999999999999996</v>
      </c>
      <c r="F17" s="26">
        <v>27</v>
      </c>
      <c r="G17" s="26">
        <v>33</v>
      </c>
      <c r="H17" s="26">
        <v>31</v>
      </c>
      <c r="I17" s="15">
        <f t="shared" si="4"/>
        <v>-6.0606060606060552E-2</v>
      </c>
      <c r="J17" s="13">
        <v>1854</v>
      </c>
      <c r="K17" s="13">
        <v>1444</v>
      </c>
      <c r="L17" s="13">
        <v>1530</v>
      </c>
      <c r="M17" s="22">
        <f t="shared" si="5"/>
        <v>5.9556786703601095E-2</v>
      </c>
      <c r="N17" s="13">
        <f t="shared" si="0"/>
        <v>1899</v>
      </c>
      <c r="O17" s="13">
        <f t="shared" si="1"/>
        <v>1487</v>
      </c>
      <c r="P17" s="13">
        <f t="shared" si="2"/>
        <v>1569</v>
      </c>
      <c r="Q17" s="15">
        <f t="shared" si="6"/>
        <v>5.5144586415601937E-2</v>
      </c>
    </row>
    <row r="18" spans="1:17" s="40" customFormat="1" ht="12" customHeight="1" x14ac:dyDescent="0.2">
      <c r="A18" s="25" t="s">
        <v>13</v>
      </c>
      <c r="B18" s="26">
        <v>9</v>
      </c>
      <c r="C18" s="26">
        <v>9</v>
      </c>
      <c r="D18" s="26">
        <v>6</v>
      </c>
      <c r="E18" s="22">
        <f t="shared" si="3"/>
        <v>-0.33333333333333337</v>
      </c>
      <c r="F18" s="26">
        <v>41</v>
      </c>
      <c r="G18" s="26">
        <v>41</v>
      </c>
      <c r="H18" s="26">
        <v>38</v>
      </c>
      <c r="I18" s="15">
        <f t="shared" si="4"/>
        <v>-7.3170731707317027E-2</v>
      </c>
      <c r="J18" s="26">
        <v>508</v>
      </c>
      <c r="K18" s="26">
        <v>432</v>
      </c>
      <c r="L18" s="26">
        <v>450</v>
      </c>
      <c r="M18" s="22">
        <f t="shared" si="5"/>
        <v>4.1666666666666741E-2</v>
      </c>
      <c r="N18" s="13">
        <f t="shared" si="0"/>
        <v>558</v>
      </c>
      <c r="O18" s="13">
        <f t="shared" si="1"/>
        <v>482</v>
      </c>
      <c r="P18" s="13">
        <f t="shared" si="2"/>
        <v>494</v>
      </c>
      <c r="Q18" s="15">
        <f t="shared" si="6"/>
        <v>2.4896265560165887E-2</v>
      </c>
    </row>
    <row r="19" spans="1:17" s="40" customFormat="1" ht="12" customHeight="1" x14ac:dyDescent="0.2">
      <c r="A19" s="25" t="s">
        <v>14</v>
      </c>
      <c r="B19" s="26">
        <v>3</v>
      </c>
      <c r="C19" s="26">
        <v>6</v>
      </c>
      <c r="D19" s="26">
        <v>5</v>
      </c>
      <c r="E19" s="22">
        <f t="shared" si="3"/>
        <v>-0.16666666666666663</v>
      </c>
      <c r="F19" s="26">
        <v>21</v>
      </c>
      <c r="G19" s="26">
        <v>26</v>
      </c>
      <c r="H19" s="26">
        <v>33</v>
      </c>
      <c r="I19" s="15">
        <f t="shared" si="4"/>
        <v>0.26923076923076916</v>
      </c>
      <c r="J19" s="26">
        <v>820</v>
      </c>
      <c r="K19" s="26">
        <v>808</v>
      </c>
      <c r="L19" s="26">
        <v>756</v>
      </c>
      <c r="M19" s="22">
        <f t="shared" si="5"/>
        <v>-6.4356435643564303E-2</v>
      </c>
      <c r="N19" s="13">
        <f t="shared" si="0"/>
        <v>844</v>
      </c>
      <c r="O19" s="13">
        <f t="shared" si="1"/>
        <v>840</v>
      </c>
      <c r="P19" s="13">
        <f t="shared" si="2"/>
        <v>794</v>
      </c>
      <c r="Q19" s="15">
        <f t="shared" si="6"/>
        <v>-5.4761904761904789E-2</v>
      </c>
    </row>
    <row r="20" spans="1:17" s="40" customFormat="1" ht="12" customHeight="1" x14ac:dyDescent="0.2">
      <c r="A20" s="25" t="s">
        <v>76</v>
      </c>
      <c r="B20" s="26">
        <v>2</v>
      </c>
      <c r="C20" s="26">
        <v>3</v>
      </c>
      <c r="D20" s="26">
        <v>4</v>
      </c>
      <c r="E20" s="22">
        <f t="shared" si="3"/>
        <v>0.33333333333333326</v>
      </c>
      <c r="F20" s="26">
        <v>10</v>
      </c>
      <c r="G20" s="26">
        <v>6</v>
      </c>
      <c r="H20" s="26">
        <v>8</v>
      </c>
      <c r="I20" s="15">
        <f t="shared" si="4"/>
        <v>0.33333333333333326</v>
      </c>
      <c r="J20" s="26">
        <v>250</v>
      </c>
      <c r="K20" s="26">
        <v>252</v>
      </c>
      <c r="L20" s="26">
        <v>272</v>
      </c>
      <c r="M20" s="22">
        <f t="shared" si="5"/>
        <v>7.9365079365079305E-2</v>
      </c>
      <c r="N20" s="13">
        <f t="shared" si="0"/>
        <v>262</v>
      </c>
      <c r="O20" s="13">
        <f t="shared" si="1"/>
        <v>261</v>
      </c>
      <c r="P20" s="13">
        <f t="shared" si="2"/>
        <v>284</v>
      </c>
      <c r="Q20" s="15">
        <f t="shared" si="6"/>
        <v>8.8122605363984752E-2</v>
      </c>
    </row>
    <row r="21" spans="1:17" s="40" customFormat="1" ht="12" customHeight="1" x14ac:dyDescent="0.2">
      <c r="A21" s="25" t="s">
        <v>15</v>
      </c>
      <c r="B21" s="26">
        <v>1</v>
      </c>
      <c r="C21" s="26">
        <v>4</v>
      </c>
      <c r="D21" s="26">
        <v>2</v>
      </c>
      <c r="E21" s="22">
        <f t="shared" si="3"/>
        <v>-0.5</v>
      </c>
      <c r="F21" s="26">
        <v>5</v>
      </c>
      <c r="G21" s="26">
        <v>9</v>
      </c>
      <c r="H21" s="26">
        <v>7</v>
      </c>
      <c r="I21" s="15">
        <f t="shared" si="4"/>
        <v>-0.22222222222222221</v>
      </c>
      <c r="J21" s="26">
        <v>263</v>
      </c>
      <c r="K21" s="26">
        <v>184</v>
      </c>
      <c r="L21" s="26">
        <v>200</v>
      </c>
      <c r="M21" s="22">
        <f t="shared" si="5"/>
        <v>8.6956521739130377E-2</v>
      </c>
      <c r="N21" s="13">
        <f t="shared" si="0"/>
        <v>269</v>
      </c>
      <c r="O21" s="13">
        <f t="shared" si="1"/>
        <v>197</v>
      </c>
      <c r="P21" s="13">
        <f t="shared" si="2"/>
        <v>209</v>
      </c>
      <c r="Q21" s="15">
        <f t="shared" si="6"/>
        <v>6.0913705583756306E-2</v>
      </c>
    </row>
    <row r="22" spans="1:17" s="40" customFormat="1" ht="12" customHeight="1" x14ac:dyDescent="0.2">
      <c r="A22" s="25" t="s">
        <v>16</v>
      </c>
      <c r="B22" s="26">
        <v>9</v>
      </c>
      <c r="C22" s="26">
        <v>4</v>
      </c>
      <c r="D22" s="26">
        <v>3</v>
      </c>
      <c r="E22" s="22">
        <f t="shared" si="3"/>
        <v>-0.25</v>
      </c>
      <c r="F22" s="26">
        <v>18</v>
      </c>
      <c r="G22" s="26">
        <v>13</v>
      </c>
      <c r="H22" s="26">
        <v>19</v>
      </c>
      <c r="I22" s="15">
        <f t="shared" si="4"/>
        <v>0.46153846153846145</v>
      </c>
      <c r="J22" s="26">
        <v>405</v>
      </c>
      <c r="K22" s="26">
        <v>362</v>
      </c>
      <c r="L22" s="26">
        <v>407</v>
      </c>
      <c r="M22" s="22">
        <f t="shared" si="5"/>
        <v>0.12430939226519344</v>
      </c>
      <c r="N22" s="13">
        <f t="shared" si="0"/>
        <v>432</v>
      </c>
      <c r="O22" s="13">
        <f t="shared" si="1"/>
        <v>379</v>
      </c>
      <c r="P22" s="13">
        <f t="shared" si="2"/>
        <v>429</v>
      </c>
      <c r="Q22" s="15">
        <f t="shared" si="6"/>
        <v>0.13192612137203175</v>
      </c>
    </row>
    <row r="23" spans="1:17" s="40" customFormat="1" ht="12" customHeight="1" x14ac:dyDescent="0.2">
      <c r="A23" s="25" t="s">
        <v>344</v>
      </c>
      <c r="B23" s="26">
        <v>6</v>
      </c>
      <c r="C23" s="26">
        <v>4</v>
      </c>
      <c r="D23" s="26">
        <v>2</v>
      </c>
      <c r="E23" s="22">
        <f t="shared" si="3"/>
        <v>-0.5</v>
      </c>
      <c r="F23" s="26">
        <v>23</v>
      </c>
      <c r="G23" s="26">
        <v>12</v>
      </c>
      <c r="H23" s="26">
        <v>17</v>
      </c>
      <c r="I23" s="15">
        <f t="shared" si="4"/>
        <v>0.41666666666666674</v>
      </c>
      <c r="J23" s="26">
        <v>180</v>
      </c>
      <c r="K23" s="26">
        <v>167</v>
      </c>
      <c r="L23" s="26">
        <v>201</v>
      </c>
      <c r="M23" s="22">
        <f t="shared" si="5"/>
        <v>0.20359281437125754</v>
      </c>
      <c r="N23" s="13">
        <f t="shared" si="0"/>
        <v>209</v>
      </c>
      <c r="O23" s="13">
        <f t="shared" si="1"/>
        <v>183</v>
      </c>
      <c r="P23" s="13">
        <f t="shared" si="2"/>
        <v>220</v>
      </c>
      <c r="Q23" s="15">
        <f t="shared" si="6"/>
        <v>0.20218579234972678</v>
      </c>
    </row>
    <row r="24" spans="1:17" s="40" customFormat="1" ht="12" customHeight="1" x14ac:dyDescent="0.2">
      <c r="A24" s="25" t="s">
        <v>345</v>
      </c>
      <c r="B24" s="26">
        <v>30</v>
      </c>
      <c r="C24" s="26">
        <v>2</v>
      </c>
      <c r="D24" s="26">
        <v>2</v>
      </c>
      <c r="E24" s="22">
        <f t="shared" si="3"/>
        <v>0</v>
      </c>
      <c r="F24" s="26">
        <v>27</v>
      </c>
      <c r="G24" s="26">
        <v>11</v>
      </c>
      <c r="H24" s="26">
        <v>6</v>
      </c>
      <c r="I24" s="15">
        <f t="shared" si="4"/>
        <v>-0.45454545454545459</v>
      </c>
      <c r="J24" s="26">
        <v>238</v>
      </c>
      <c r="K24" s="26">
        <v>221</v>
      </c>
      <c r="L24" s="26">
        <v>259</v>
      </c>
      <c r="M24" s="22">
        <f t="shared" si="5"/>
        <v>0.17194570135746612</v>
      </c>
      <c r="N24" s="13">
        <f t="shared" si="0"/>
        <v>295</v>
      </c>
      <c r="O24" s="13">
        <f t="shared" si="1"/>
        <v>234</v>
      </c>
      <c r="P24" s="13">
        <f t="shared" si="2"/>
        <v>267</v>
      </c>
      <c r="Q24" s="15">
        <f t="shared" si="6"/>
        <v>0.14102564102564097</v>
      </c>
    </row>
    <row r="25" spans="1:17" s="40" customFormat="1" ht="12" customHeight="1" thickBot="1" x14ac:dyDescent="0.25">
      <c r="A25" s="27" t="s">
        <v>0</v>
      </c>
      <c r="B25" s="23">
        <f>SUM(B5:B24)</f>
        <v>145</v>
      </c>
      <c r="C25" s="16">
        <v>105</v>
      </c>
      <c r="D25" s="16">
        <v>76</v>
      </c>
      <c r="E25" s="24">
        <f>D25/C25-1</f>
        <v>-0.27619047619047621</v>
      </c>
      <c r="F25" s="16">
        <f t="shared" ref="F25:H25" si="7">SUM(F5:F24)</f>
        <v>418</v>
      </c>
      <c r="G25" s="16">
        <f t="shared" si="7"/>
        <v>366</v>
      </c>
      <c r="H25" s="16">
        <f t="shared" si="7"/>
        <v>425</v>
      </c>
      <c r="I25" s="17">
        <f>H25/G25-1</f>
        <v>0.16120218579234979</v>
      </c>
      <c r="J25" s="23">
        <f t="shared" ref="J25:L25" si="8">SUM(J5:J24)</f>
        <v>10667</v>
      </c>
      <c r="K25" s="16">
        <f t="shared" si="8"/>
        <v>9201</v>
      </c>
      <c r="L25" s="16">
        <f t="shared" si="8"/>
        <v>9497</v>
      </c>
      <c r="M25" s="24">
        <f>L25/K25-1</f>
        <v>3.217041625910233E-2</v>
      </c>
      <c r="N25" s="16">
        <f t="shared" ref="N25:P25" si="9">SUM(N5:N24)</f>
        <v>11230</v>
      </c>
      <c r="O25" s="16">
        <f t="shared" si="9"/>
        <v>9672</v>
      </c>
      <c r="P25" s="16">
        <f t="shared" si="9"/>
        <v>9998</v>
      </c>
      <c r="Q25" s="17">
        <f>P25/O25-1</f>
        <v>3.3705541770057801E-2</v>
      </c>
    </row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6" orientation="portrait" r:id="rId1"/>
  <ignoredErrors>
    <ignoredError sqref="B25 N25:Q25 E25:H25" formulaRange="1"/>
    <ignoredError sqref="I25:M25" formula="1" formulaRange="1"/>
  </ignoredError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8356-FAD8-4529-ADE5-C2A23D48CA5A}">
  <sheetPr codeName="Planilha45"/>
  <dimension ref="A1:Q35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200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95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366</v>
      </c>
      <c r="B5" s="140">
        <v>10</v>
      </c>
      <c r="C5" s="140">
        <v>5</v>
      </c>
      <c r="D5" s="140">
        <v>5</v>
      </c>
      <c r="E5" s="22">
        <f t="shared" ref="E5:E19" si="0">D5/C5-1</f>
        <v>0</v>
      </c>
      <c r="F5" s="140">
        <v>45</v>
      </c>
      <c r="G5" s="140">
        <v>31</v>
      </c>
      <c r="H5" s="140">
        <v>40</v>
      </c>
      <c r="I5" s="15">
        <f t="shared" ref="I5:I19" si="1">H5/G5-1</f>
        <v>0.29032258064516125</v>
      </c>
      <c r="J5" s="139">
        <v>1697</v>
      </c>
      <c r="K5" s="139">
        <v>1554</v>
      </c>
      <c r="L5" s="139">
        <v>1476</v>
      </c>
      <c r="M5" s="22">
        <f t="shared" ref="M5:M19" si="2">L5/K5-1</f>
        <v>-5.0193050193050204E-2</v>
      </c>
      <c r="N5" s="68">
        <f t="shared" ref="N5:N20" si="3">B5+F5+J5</f>
        <v>1752</v>
      </c>
      <c r="O5" s="68">
        <f t="shared" ref="O5:O20" si="4">C5+G5+K5</f>
        <v>1590</v>
      </c>
      <c r="P5" s="68">
        <f t="shared" ref="P5:P20" si="5">D5+H5+L5</f>
        <v>1521</v>
      </c>
      <c r="Q5" s="81">
        <f t="shared" ref="Q5:Q19" si="6">P5/O5-1</f>
        <v>-4.339622641509433E-2</v>
      </c>
    </row>
    <row r="6" spans="1:17" s="40" customFormat="1" ht="12" customHeight="1" x14ac:dyDescent="0.2">
      <c r="A6" s="25" t="s">
        <v>252</v>
      </c>
      <c r="B6" s="140">
        <v>9</v>
      </c>
      <c r="C6" s="140">
        <v>12</v>
      </c>
      <c r="D6" s="140">
        <v>9</v>
      </c>
      <c r="E6" s="22">
        <f t="shared" si="0"/>
        <v>-0.25</v>
      </c>
      <c r="F6" s="140">
        <v>50</v>
      </c>
      <c r="G6" s="140">
        <v>40</v>
      </c>
      <c r="H6" s="140">
        <v>46</v>
      </c>
      <c r="I6" s="15">
        <f t="shared" si="1"/>
        <v>0.14999999999999991</v>
      </c>
      <c r="J6" s="139">
        <v>1163</v>
      </c>
      <c r="K6" s="140">
        <v>983</v>
      </c>
      <c r="L6" s="140">
        <v>991</v>
      </c>
      <c r="M6" s="22">
        <f t="shared" si="2"/>
        <v>8.1383519837232576E-3</v>
      </c>
      <c r="N6" s="13">
        <f t="shared" si="3"/>
        <v>1222</v>
      </c>
      <c r="O6" s="13">
        <f t="shared" si="4"/>
        <v>1035</v>
      </c>
      <c r="P6" s="13">
        <f t="shared" si="5"/>
        <v>1046</v>
      </c>
      <c r="Q6" s="15">
        <f t="shared" si="6"/>
        <v>1.0628019323671412E-2</v>
      </c>
    </row>
    <row r="7" spans="1:17" s="40" customFormat="1" ht="12" customHeight="1" x14ac:dyDescent="0.2">
      <c r="A7" s="25" t="s">
        <v>253</v>
      </c>
      <c r="B7" s="140">
        <v>14</v>
      </c>
      <c r="C7" s="140">
        <v>12</v>
      </c>
      <c r="D7" s="140">
        <v>13</v>
      </c>
      <c r="E7" s="22">
        <f t="shared" si="0"/>
        <v>8.3333333333333259E-2</v>
      </c>
      <c r="F7" s="140">
        <v>58</v>
      </c>
      <c r="G7" s="140">
        <v>57</v>
      </c>
      <c r="H7" s="140">
        <v>69</v>
      </c>
      <c r="I7" s="15">
        <f t="shared" si="1"/>
        <v>0.21052631578947367</v>
      </c>
      <c r="J7" s="139">
        <v>1240</v>
      </c>
      <c r="K7" s="139">
        <v>1084</v>
      </c>
      <c r="L7" s="139">
        <v>1142</v>
      </c>
      <c r="M7" s="22">
        <f t="shared" si="2"/>
        <v>5.3505535055350606E-2</v>
      </c>
      <c r="N7" s="13">
        <f t="shared" si="3"/>
        <v>1312</v>
      </c>
      <c r="O7" s="13">
        <f t="shared" si="4"/>
        <v>1153</v>
      </c>
      <c r="P7" s="13">
        <f t="shared" si="5"/>
        <v>1224</v>
      </c>
      <c r="Q7" s="15">
        <f t="shared" si="6"/>
        <v>6.157849089332168E-2</v>
      </c>
    </row>
    <row r="8" spans="1:17" s="40" customFormat="1" ht="12" customHeight="1" x14ac:dyDescent="0.2">
      <c r="A8" s="25" t="s">
        <v>254</v>
      </c>
      <c r="B8" s="140">
        <v>8</v>
      </c>
      <c r="C8" s="140">
        <v>6</v>
      </c>
      <c r="D8" s="140">
        <v>6</v>
      </c>
      <c r="E8" s="22">
        <f t="shared" si="0"/>
        <v>0</v>
      </c>
      <c r="F8" s="140">
        <v>34</v>
      </c>
      <c r="G8" s="140">
        <v>34</v>
      </c>
      <c r="H8" s="140">
        <v>42</v>
      </c>
      <c r="I8" s="15">
        <f t="shared" si="1"/>
        <v>0.23529411764705888</v>
      </c>
      <c r="J8" s="140">
        <v>851</v>
      </c>
      <c r="K8" s="140">
        <v>777</v>
      </c>
      <c r="L8" s="140">
        <v>874</v>
      </c>
      <c r="M8" s="22">
        <f t="shared" si="2"/>
        <v>0.12483912483912474</v>
      </c>
      <c r="N8" s="13">
        <f t="shared" si="3"/>
        <v>893</v>
      </c>
      <c r="O8" s="13">
        <f t="shared" si="4"/>
        <v>817</v>
      </c>
      <c r="P8" s="13">
        <f t="shared" si="5"/>
        <v>922</v>
      </c>
      <c r="Q8" s="15">
        <f t="shared" si="6"/>
        <v>0.12851897184822514</v>
      </c>
    </row>
    <row r="9" spans="1:17" s="40" customFormat="1" ht="12" customHeight="1" x14ac:dyDescent="0.2">
      <c r="A9" s="25" t="s">
        <v>255</v>
      </c>
      <c r="B9" s="140">
        <v>7</v>
      </c>
      <c r="C9" s="140">
        <v>7</v>
      </c>
      <c r="D9" s="140">
        <v>4</v>
      </c>
      <c r="E9" s="22">
        <f t="shared" si="0"/>
        <v>-0.4285714285714286</v>
      </c>
      <c r="F9" s="140">
        <v>27</v>
      </c>
      <c r="G9" s="140">
        <v>31</v>
      </c>
      <c r="H9" s="140">
        <v>30</v>
      </c>
      <c r="I9" s="15">
        <f t="shared" si="1"/>
        <v>-3.2258064516129004E-2</v>
      </c>
      <c r="J9" s="140">
        <v>613</v>
      </c>
      <c r="K9" s="140">
        <v>623</v>
      </c>
      <c r="L9" s="140">
        <v>614</v>
      </c>
      <c r="M9" s="22">
        <f t="shared" si="2"/>
        <v>-1.4446227929374E-2</v>
      </c>
      <c r="N9" s="13">
        <f t="shared" si="3"/>
        <v>647</v>
      </c>
      <c r="O9" s="13">
        <f t="shared" si="4"/>
        <v>661</v>
      </c>
      <c r="P9" s="13">
        <f t="shared" si="5"/>
        <v>648</v>
      </c>
      <c r="Q9" s="15">
        <f t="shared" si="6"/>
        <v>-1.9667170953101332E-2</v>
      </c>
    </row>
    <row r="10" spans="1:17" s="40" customFormat="1" ht="12" customHeight="1" x14ac:dyDescent="0.2">
      <c r="A10" s="25" t="s">
        <v>256</v>
      </c>
      <c r="B10" s="140">
        <v>3</v>
      </c>
      <c r="C10" s="140">
        <v>1</v>
      </c>
      <c r="D10" s="140">
        <v>2</v>
      </c>
      <c r="E10" s="22">
        <f t="shared" si="0"/>
        <v>1</v>
      </c>
      <c r="F10" s="140">
        <v>25</v>
      </c>
      <c r="G10" s="140">
        <v>18</v>
      </c>
      <c r="H10" s="140">
        <v>28</v>
      </c>
      <c r="I10" s="15">
        <f t="shared" si="1"/>
        <v>0.55555555555555558</v>
      </c>
      <c r="J10" s="140">
        <v>507</v>
      </c>
      <c r="K10" s="140">
        <v>469</v>
      </c>
      <c r="L10" s="140">
        <v>469</v>
      </c>
      <c r="M10" s="22">
        <f t="shared" si="2"/>
        <v>0</v>
      </c>
      <c r="N10" s="13">
        <f t="shared" si="3"/>
        <v>535</v>
      </c>
      <c r="O10" s="13">
        <f t="shared" si="4"/>
        <v>488</v>
      </c>
      <c r="P10" s="13">
        <f t="shared" si="5"/>
        <v>499</v>
      </c>
      <c r="Q10" s="15">
        <f t="shared" si="6"/>
        <v>2.2540983606557319E-2</v>
      </c>
    </row>
    <row r="11" spans="1:17" s="40" customFormat="1" ht="12" customHeight="1" x14ac:dyDescent="0.2">
      <c r="A11" s="25" t="s">
        <v>257</v>
      </c>
      <c r="B11" s="140">
        <v>4</v>
      </c>
      <c r="C11" s="140">
        <v>7</v>
      </c>
      <c r="D11" s="140">
        <v>4</v>
      </c>
      <c r="E11" s="22">
        <f t="shared" si="0"/>
        <v>-0.4285714285714286</v>
      </c>
      <c r="F11" s="140">
        <v>29</v>
      </c>
      <c r="G11" s="140">
        <v>20</v>
      </c>
      <c r="H11" s="140">
        <v>18</v>
      </c>
      <c r="I11" s="15">
        <f t="shared" si="1"/>
        <v>-9.9999999999999978E-2</v>
      </c>
      <c r="J11" s="140">
        <v>593</v>
      </c>
      <c r="K11" s="140">
        <v>439</v>
      </c>
      <c r="L11" s="140">
        <v>491</v>
      </c>
      <c r="M11" s="22">
        <f t="shared" si="2"/>
        <v>0.11845102505694771</v>
      </c>
      <c r="N11" s="13">
        <f t="shared" si="3"/>
        <v>626</v>
      </c>
      <c r="O11" s="13">
        <f t="shared" si="4"/>
        <v>466</v>
      </c>
      <c r="P11" s="13">
        <f t="shared" si="5"/>
        <v>513</v>
      </c>
      <c r="Q11" s="15">
        <f t="shared" si="6"/>
        <v>0.10085836909871237</v>
      </c>
    </row>
    <row r="12" spans="1:17" s="40" customFormat="1" ht="12" customHeight="1" x14ac:dyDescent="0.2">
      <c r="A12" s="25" t="s">
        <v>258</v>
      </c>
      <c r="B12" s="140">
        <v>6</v>
      </c>
      <c r="C12" s="140">
        <v>4</v>
      </c>
      <c r="D12" s="140">
        <v>2</v>
      </c>
      <c r="E12" s="22">
        <f t="shared" si="0"/>
        <v>-0.5</v>
      </c>
      <c r="F12" s="140">
        <v>17</v>
      </c>
      <c r="G12" s="140">
        <v>25</v>
      </c>
      <c r="H12" s="140">
        <v>21</v>
      </c>
      <c r="I12" s="15">
        <f t="shared" si="1"/>
        <v>-0.16000000000000003</v>
      </c>
      <c r="J12" s="140">
        <v>559</v>
      </c>
      <c r="K12" s="140">
        <v>445</v>
      </c>
      <c r="L12" s="140">
        <v>482</v>
      </c>
      <c r="M12" s="22">
        <f t="shared" si="2"/>
        <v>8.3146067415730274E-2</v>
      </c>
      <c r="N12" s="13">
        <f t="shared" si="3"/>
        <v>582</v>
      </c>
      <c r="O12" s="13">
        <f t="shared" si="4"/>
        <v>474</v>
      </c>
      <c r="P12" s="13">
        <f t="shared" si="5"/>
        <v>505</v>
      </c>
      <c r="Q12" s="15">
        <f t="shared" si="6"/>
        <v>6.5400843881856519E-2</v>
      </c>
    </row>
    <row r="13" spans="1:17" s="40" customFormat="1" ht="12" customHeight="1" x14ac:dyDescent="0.2">
      <c r="A13" s="25" t="s">
        <v>259</v>
      </c>
      <c r="B13" s="140">
        <v>6</v>
      </c>
      <c r="C13" s="140">
        <v>12</v>
      </c>
      <c r="D13" s="140">
        <v>7</v>
      </c>
      <c r="E13" s="22">
        <f t="shared" si="0"/>
        <v>-0.41666666666666663</v>
      </c>
      <c r="F13" s="140">
        <v>22</v>
      </c>
      <c r="G13" s="140">
        <v>19</v>
      </c>
      <c r="H13" s="140">
        <v>35</v>
      </c>
      <c r="I13" s="15">
        <f t="shared" si="1"/>
        <v>0.84210526315789469</v>
      </c>
      <c r="J13" s="140">
        <v>552</v>
      </c>
      <c r="K13" s="140">
        <v>499</v>
      </c>
      <c r="L13" s="140">
        <v>487</v>
      </c>
      <c r="M13" s="22">
        <f t="shared" si="2"/>
        <v>-2.4048096192384794E-2</v>
      </c>
      <c r="N13" s="13">
        <f t="shared" si="3"/>
        <v>580</v>
      </c>
      <c r="O13" s="13">
        <f t="shared" si="4"/>
        <v>530</v>
      </c>
      <c r="P13" s="13">
        <f t="shared" si="5"/>
        <v>529</v>
      </c>
      <c r="Q13" s="15">
        <f t="shared" si="6"/>
        <v>-1.8867924528301883E-3</v>
      </c>
    </row>
    <row r="14" spans="1:17" s="40" customFormat="1" ht="12" customHeight="1" x14ac:dyDescent="0.2">
      <c r="A14" s="25" t="s">
        <v>260</v>
      </c>
      <c r="B14" s="140">
        <v>5</v>
      </c>
      <c r="C14" s="140">
        <v>5</v>
      </c>
      <c r="D14" s="140">
        <v>1</v>
      </c>
      <c r="E14" s="22">
        <f t="shared" si="0"/>
        <v>-0.8</v>
      </c>
      <c r="F14" s="140">
        <v>17</v>
      </c>
      <c r="G14" s="140">
        <v>17</v>
      </c>
      <c r="H14" s="140">
        <v>13</v>
      </c>
      <c r="I14" s="15">
        <f t="shared" si="1"/>
        <v>-0.23529411764705888</v>
      </c>
      <c r="J14" s="140">
        <v>616</v>
      </c>
      <c r="K14" s="140">
        <v>461</v>
      </c>
      <c r="L14" s="140">
        <v>487</v>
      </c>
      <c r="M14" s="22">
        <f t="shared" si="2"/>
        <v>5.6399132321041323E-2</v>
      </c>
      <c r="N14" s="13">
        <f t="shared" si="3"/>
        <v>638</v>
      </c>
      <c r="O14" s="13">
        <f t="shared" si="4"/>
        <v>483</v>
      </c>
      <c r="P14" s="13">
        <f t="shared" si="5"/>
        <v>501</v>
      </c>
      <c r="Q14" s="15">
        <f t="shared" si="6"/>
        <v>3.7267080745341685E-2</v>
      </c>
    </row>
    <row r="15" spans="1:17" s="40" customFormat="1" ht="12" customHeight="1" x14ac:dyDescent="0.2">
      <c r="A15" s="25" t="s">
        <v>261</v>
      </c>
      <c r="B15" s="140">
        <v>11</v>
      </c>
      <c r="C15" s="140">
        <v>5</v>
      </c>
      <c r="D15" s="140">
        <v>4</v>
      </c>
      <c r="E15" s="22">
        <f t="shared" si="0"/>
        <v>-0.19999999999999996</v>
      </c>
      <c r="F15" s="140">
        <v>16</v>
      </c>
      <c r="G15" s="140">
        <v>11</v>
      </c>
      <c r="H15" s="140">
        <v>17</v>
      </c>
      <c r="I15" s="15">
        <f t="shared" si="1"/>
        <v>0.54545454545454541</v>
      </c>
      <c r="J15" s="140">
        <v>547</v>
      </c>
      <c r="K15" s="140">
        <v>390</v>
      </c>
      <c r="L15" s="140">
        <v>474</v>
      </c>
      <c r="M15" s="22">
        <f t="shared" si="2"/>
        <v>0.21538461538461529</v>
      </c>
      <c r="N15" s="13">
        <f t="shared" si="3"/>
        <v>574</v>
      </c>
      <c r="O15" s="13">
        <f t="shared" si="4"/>
        <v>406</v>
      </c>
      <c r="P15" s="13">
        <f t="shared" si="5"/>
        <v>495</v>
      </c>
      <c r="Q15" s="15">
        <f t="shared" si="6"/>
        <v>0.21921182266009853</v>
      </c>
    </row>
    <row r="16" spans="1:17" s="40" customFormat="1" ht="12" customHeight="1" x14ac:dyDescent="0.2">
      <c r="A16" s="25" t="s">
        <v>262</v>
      </c>
      <c r="B16" s="140">
        <v>12</v>
      </c>
      <c r="C16" s="140">
        <v>5</v>
      </c>
      <c r="D16" s="140">
        <v>2</v>
      </c>
      <c r="E16" s="22">
        <f t="shared" si="0"/>
        <v>-0.6</v>
      </c>
      <c r="F16" s="140">
        <v>30</v>
      </c>
      <c r="G16" s="140">
        <v>16</v>
      </c>
      <c r="H16" s="140">
        <v>20</v>
      </c>
      <c r="I16" s="15">
        <f t="shared" si="1"/>
        <v>0.25</v>
      </c>
      <c r="J16" s="140">
        <v>490</v>
      </c>
      <c r="K16" s="140">
        <v>407</v>
      </c>
      <c r="L16" s="140">
        <v>435</v>
      </c>
      <c r="M16" s="22">
        <f t="shared" si="2"/>
        <v>6.8796068796068699E-2</v>
      </c>
      <c r="N16" s="13">
        <f t="shared" si="3"/>
        <v>532</v>
      </c>
      <c r="O16" s="13">
        <f t="shared" si="4"/>
        <v>428</v>
      </c>
      <c r="P16" s="13">
        <f t="shared" si="5"/>
        <v>457</v>
      </c>
      <c r="Q16" s="15">
        <f t="shared" si="6"/>
        <v>6.7757009345794428E-2</v>
      </c>
    </row>
    <row r="17" spans="1:17" s="40" customFormat="1" ht="12" customHeight="1" x14ac:dyDescent="0.2">
      <c r="A17" s="25" t="s">
        <v>263</v>
      </c>
      <c r="B17" s="140">
        <v>11</v>
      </c>
      <c r="C17" s="140">
        <v>3</v>
      </c>
      <c r="D17" s="140">
        <v>3</v>
      </c>
      <c r="E17" s="22">
        <f t="shared" si="0"/>
        <v>0</v>
      </c>
      <c r="F17" s="140">
        <v>11</v>
      </c>
      <c r="G17" s="140">
        <v>17</v>
      </c>
      <c r="H17" s="140">
        <v>25</v>
      </c>
      <c r="I17" s="15">
        <f t="shared" si="1"/>
        <v>0.47058823529411775</v>
      </c>
      <c r="J17" s="140">
        <v>420</v>
      </c>
      <c r="K17" s="140">
        <v>382</v>
      </c>
      <c r="L17" s="140">
        <v>357</v>
      </c>
      <c r="M17" s="22">
        <f t="shared" si="2"/>
        <v>-6.5445026178010512E-2</v>
      </c>
      <c r="N17" s="13">
        <f t="shared" si="3"/>
        <v>442</v>
      </c>
      <c r="O17" s="13">
        <f t="shared" si="4"/>
        <v>402</v>
      </c>
      <c r="P17" s="13">
        <f t="shared" si="5"/>
        <v>385</v>
      </c>
      <c r="Q17" s="15">
        <f t="shared" si="6"/>
        <v>-4.2288557213930322E-2</v>
      </c>
    </row>
    <row r="18" spans="1:17" s="40" customFormat="1" ht="12" customHeight="1" x14ac:dyDescent="0.2">
      <c r="A18" s="25" t="s">
        <v>356</v>
      </c>
      <c r="B18" s="140">
        <v>14</v>
      </c>
      <c r="C18" s="140">
        <v>9</v>
      </c>
      <c r="D18" s="140">
        <v>2</v>
      </c>
      <c r="E18" s="22">
        <f t="shared" si="0"/>
        <v>-0.77777777777777779</v>
      </c>
      <c r="F18" s="140">
        <v>14</v>
      </c>
      <c r="G18" s="140">
        <v>15</v>
      </c>
      <c r="H18" s="140">
        <v>11</v>
      </c>
      <c r="I18" s="15">
        <f t="shared" si="1"/>
        <v>-0.26666666666666672</v>
      </c>
      <c r="J18" s="140">
        <v>370</v>
      </c>
      <c r="K18" s="140">
        <v>316</v>
      </c>
      <c r="L18" s="140">
        <v>321</v>
      </c>
      <c r="M18" s="22">
        <f t="shared" si="2"/>
        <v>1.5822784810126667E-2</v>
      </c>
      <c r="N18" s="13">
        <f t="shared" si="3"/>
        <v>398</v>
      </c>
      <c r="O18" s="13">
        <f t="shared" si="4"/>
        <v>340</v>
      </c>
      <c r="P18" s="13">
        <f t="shared" si="5"/>
        <v>334</v>
      </c>
      <c r="Q18" s="15">
        <f t="shared" si="6"/>
        <v>-1.764705882352946E-2</v>
      </c>
    </row>
    <row r="19" spans="1:17" s="40" customFormat="1" ht="12" customHeight="1" x14ac:dyDescent="0.2">
      <c r="A19" s="25" t="s">
        <v>367</v>
      </c>
      <c r="B19" s="140">
        <v>25</v>
      </c>
      <c r="C19" s="140">
        <v>12</v>
      </c>
      <c r="D19" s="140">
        <v>12</v>
      </c>
      <c r="E19" s="22">
        <f t="shared" si="0"/>
        <v>0</v>
      </c>
      <c r="F19" s="140">
        <v>23</v>
      </c>
      <c r="G19" s="140">
        <v>15</v>
      </c>
      <c r="H19" s="140">
        <v>10</v>
      </c>
      <c r="I19" s="15">
        <f t="shared" si="1"/>
        <v>-0.33333333333333337</v>
      </c>
      <c r="J19" s="140">
        <v>448</v>
      </c>
      <c r="K19" s="140">
        <v>372</v>
      </c>
      <c r="L19" s="140">
        <v>396</v>
      </c>
      <c r="M19" s="22">
        <f t="shared" si="2"/>
        <v>6.4516129032258007E-2</v>
      </c>
      <c r="N19" s="13">
        <f t="shared" ref="N19" si="7">B19+F19+J19</f>
        <v>496</v>
      </c>
      <c r="O19" s="13">
        <f t="shared" ref="O19" si="8">C19+G19+K19</f>
        <v>399</v>
      </c>
      <c r="P19" s="13">
        <f t="shared" ref="P19" si="9">D19+H19+L19</f>
        <v>418</v>
      </c>
      <c r="Q19" s="15">
        <f t="shared" si="6"/>
        <v>4.7619047619047672E-2</v>
      </c>
    </row>
    <row r="20" spans="1:17" s="40" customFormat="1" ht="12" customHeight="1" x14ac:dyDescent="0.2">
      <c r="A20" s="25" t="s">
        <v>70</v>
      </c>
      <c r="B20" s="140">
        <v>0</v>
      </c>
      <c r="C20" s="140">
        <v>0</v>
      </c>
      <c r="D20" s="140">
        <v>0</v>
      </c>
      <c r="E20" s="22" t="s">
        <v>62</v>
      </c>
      <c r="F20" s="140">
        <v>0</v>
      </c>
      <c r="G20" s="140">
        <v>0</v>
      </c>
      <c r="H20" s="140">
        <v>0</v>
      </c>
      <c r="I20" s="15" t="s">
        <v>62</v>
      </c>
      <c r="J20" s="140">
        <v>1</v>
      </c>
      <c r="K20" s="140">
        <v>0</v>
      </c>
      <c r="L20" s="140">
        <v>1</v>
      </c>
      <c r="M20" s="22" t="s">
        <v>62</v>
      </c>
      <c r="N20" s="13">
        <f t="shared" si="3"/>
        <v>1</v>
      </c>
      <c r="O20" s="13">
        <f t="shared" si="4"/>
        <v>0</v>
      </c>
      <c r="P20" s="13">
        <f t="shared" si="5"/>
        <v>1</v>
      </c>
      <c r="Q20" s="15" t="s">
        <v>62</v>
      </c>
    </row>
    <row r="21" spans="1:17" s="40" customFormat="1" ht="12" customHeight="1" thickBot="1" x14ac:dyDescent="0.25">
      <c r="A21" s="27" t="s">
        <v>0</v>
      </c>
      <c r="B21" s="23">
        <f>SUM(B5:B20)</f>
        <v>145</v>
      </c>
      <c r="C21" s="16">
        <f t="shared" ref="C21:D21" si="10">SUM(C5:C20)</f>
        <v>105</v>
      </c>
      <c r="D21" s="16">
        <f t="shared" si="10"/>
        <v>76</v>
      </c>
      <c r="E21" s="24">
        <f>D21/C21-1</f>
        <v>-0.27619047619047621</v>
      </c>
      <c r="F21" s="16">
        <f t="shared" ref="F21:H21" si="11">SUM(F5:F20)</f>
        <v>418</v>
      </c>
      <c r="G21" s="16">
        <f t="shared" si="11"/>
        <v>366</v>
      </c>
      <c r="H21" s="16">
        <f t="shared" si="11"/>
        <v>425</v>
      </c>
      <c r="I21" s="17">
        <f>H21/G21-1</f>
        <v>0.16120218579234979</v>
      </c>
      <c r="J21" s="23">
        <f t="shared" ref="J21:L21" si="12">SUM(J5:J20)</f>
        <v>10667</v>
      </c>
      <c r="K21" s="16">
        <f t="shared" si="12"/>
        <v>9201</v>
      </c>
      <c r="L21" s="16">
        <f t="shared" si="12"/>
        <v>9497</v>
      </c>
      <c r="M21" s="24">
        <f>L21/K21-1</f>
        <v>3.217041625910233E-2</v>
      </c>
      <c r="N21" s="16">
        <f t="shared" ref="N21:P21" si="13">SUM(N5:N20)</f>
        <v>11230</v>
      </c>
      <c r="O21" s="16">
        <f t="shared" si="13"/>
        <v>9672</v>
      </c>
      <c r="P21" s="16">
        <f t="shared" si="13"/>
        <v>9998</v>
      </c>
      <c r="Q21" s="17">
        <f>P21/O21-1</f>
        <v>3.3705541770057801E-2</v>
      </c>
    </row>
    <row r="22" spans="1:17" s="40" customFormat="1" ht="12" customHeight="1" x14ac:dyDescent="0.2">
      <c r="A22" s="40" t="s">
        <v>338</v>
      </c>
    </row>
    <row r="23" spans="1:17" s="40" customFormat="1" ht="12" customHeight="1" x14ac:dyDescent="0.2"/>
    <row r="24" spans="1:17" s="40" customFormat="1" ht="12" customHeight="1" x14ac:dyDescent="0.2"/>
    <row r="25" spans="1:17" s="40" customFormat="1" ht="12" customHeight="1" x14ac:dyDescent="0.2"/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s="40" customFormat="1" ht="12" customHeight="1" x14ac:dyDescent="0.2"/>
    <row r="31" spans="1:17" s="40" customFormat="1" ht="12" customHeight="1" x14ac:dyDescent="0.2"/>
    <row r="32" spans="1:17" ht="12" customHeight="1" x14ac:dyDescent="0.3"/>
    <row r="33" ht="12" customHeight="1" x14ac:dyDescent="0.3"/>
    <row r="34" ht="12" customHeight="1" x14ac:dyDescent="0.3"/>
    <row r="35" ht="12" customHeight="1" x14ac:dyDescent="0.3"/>
  </sheetData>
  <mergeCells count="5">
    <mergeCell ref="A3:A4"/>
    <mergeCell ref="B3:E3"/>
    <mergeCell ref="F3:I3"/>
    <mergeCell ref="J3:M3"/>
    <mergeCell ref="N3:Q3"/>
  </mergeCells>
  <phoneticPr fontId="19" type="noConversion"/>
  <pageMargins left="0.7" right="0.7" top="0.75" bottom="0.75" header="0.3" footer="0.3"/>
  <pageSetup paperSize="9" scale="93" orientation="portrait" r:id="rId1"/>
  <ignoredErrors>
    <ignoredError sqref="B21:H21 N21:Q21" formulaRange="1"/>
    <ignoredError sqref="I21:M21" formula="1" formulaRange="1"/>
  </ignoredError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62C5-B819-4720-9ACA-2B14FC1B2A10}">
  <sheetPr codeName="Planilha46"/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201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158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8" customHeight="1" x14ac:dyDescent="0.2">
      <c r="A5" s="25" t="s">
        <v>159</v>
      </c>
      <c r="B5" s="26">
        <v>87</v>
      </c>
      <c r="C5" s="26">
        <v>74</v>
      </c>
      <c r="D5" s="26">
        <v>55</v>
      </c>
      <c r="E5" s="22">
        <f>D5/C5-1</f>
        <v>-0.2567567567567568</v>
      </c>
      <c r="F5" s="26">
        <v>323</v>
      </c>
      <c r="G5" s="26">
        <v>296</v>
      </c>
      <c r="H5" s="26">
        <v>351</v>
      </c>
      <c r="I5" s="15">
        <f>H5/G5-1</f>
        <v>0.18581081081081074</v>
      </c>
      <c r="J5" s="13">
        <v>8872</v>
      </c>
      <c r="K5" s="13">
        <v>7616</v>
      </c>
      <c r="L5" s="13">
        <v>7897</v>
      </c>
      <c r="M5" s="22">
        <f>L5/K5-1</f>
        <v>3.689600840336138E-2</v>
      </c>
      <c r="N5" s="13">
        <f t="shared" ref="N5:P9" si="0">B5+F5+J5</f>
        <v>9282</v>
      </c>
      <c r="O5" s="68">
        <f t="shared" si="0"/>
        <v>7986</v>
      </c>
      <c r="P5" s="68">
        <f t="shared" si="0"/>
        <v>8303</v>
      </c>
      <c r="Q5" s="81">
        <f>P5/O5-1</f>
        <v>3.9694465314300098E-2</v>
      </c>
    </row>
    <row r="6" spans="1:17" s="40" customFormat="1" ht="18" customHeight="1" x14ac:dyDescent="0.2">
      <c r="A6" s="25" t="s">
        <v>160</v>
      </c>
      <c r="B6" s="26">
        <v>3</v>
      </c>
      <c r="C6" s="26">
        <v>2</v>
      </c>
      <c r="D6" s="26">
        <v>3</v>
      </c>
      <c r="E6" s="22">
        <f t="shared" ref="E6:E8" si="1">D6/C6-1</f>
        <v>0.5</v>
      </c>
      <c r="F6" s="26">
        <v>23</v>
      </c>
      <c r="G6" s="26">
        <v>13</v>
      </c>
      <c r="H6" s="26">
        <v>21</v>
      </c>
      <c r="I6" s="15">
        <f t="shared" ref="I6:I8" si="2">H6/G6-1</f>
        <v>0.61538461538461542</v>
      </c>
      <c r="J6" s="13">
        <v>1009</v>
      </c>
      <c r="K6" s="26">
        <v>943</v>
      </c>
      <c r="L6" s="26">
        <v>947</v>
      </c>
      <c r="M6" s="22">
        <f t="shared" ref="M6:M9" si="3">L6/K6-1</f>
        <v>4.2417815482502785E-3</v>
      </c>
      <c r="N6" s="13">
        <f t="shared" si="0"/>
        <v>1035</v>
      </c>
      <c r="O6" s="13">
        <f t="shared" si="0"/>
        <v>958</v>
      </c>
      <c r="P6" s="13">
        <f t="shared" si="0"/>
        <v>971</v>
      </c>
      <c r="Q6" s="15">
        <f t="shared" ref="Q6:Q9" si="4">P6/O6-1</f>
        <v>1.3569937369519725E-2</v>
      </c>
    </row>
    <row r="7" spans="1:17" s="40" customFormat="1" ht="18" customHeight="1" x14ac:dyDescent="0.2">
      <c r="A7" s="25" t="s">
        <v>161</v>
      </c>
      <c r="B7" s="26">
        <v>3</v>
      </c>
      <c r="C7" s="26">
        <v>2</v>
      </c>
      <c r="D7" s="26">
        <v>0</v>
      </c>
      <c r="E7" s="22">
        <f t="shared" si="1"/>
        <v>-1</v>
      </c>
      <c r="F7" s="26">
        <v>4</v>
      </c>
      <c r="G7" s="26">
        <v>5</v>
      </c>
      <c r="H7" s="26">
        <v>3</v>
      </c>
      <c r="I7" s="15">
        <f t="shared" si="2"/>
        <v>-0.4</v>
      </c>
      <c r="J7" s="26">
        <v>70</v>
      </c>
      <c r="K7" s="26">
        <v>93</v>
      </c>
      <c r="L7" s="26">
        <v>68</v>
      </c>
      <c r="M7" s="22">
        <f t="shared" si="3"/>
        <v>-0.26881720430107525</v>
      </c>
      <c r="N7" s="13">
        <f t="shared" si="0"/>
        <v>77</v>
      </c>
      <c r="O7" s="13">
        <f t="shared" si="0"/>
        <v>100</v>
      </c>
      <c r="P7" s="13">
        <f t="shared" si="0"/>
        <v>71</v>
      </c>
      <c r="Q7" s="15">
        <f t="shared" si="4"/>
        <v>-0.29000000000000004</v>
      </c>
    </row>
    <row r="8" spans="1:17" s="40" customFormat="1" ht="18" customHeight="1" x14ac:dyDescent="0.2">
      <c r="A8" s="25" t="s">
        <v>162</v>
      </c>
      <c r="B8" s="26">
        <v>22</v>
      </c>
      <c r="C8" s="26">
        <v>27</v>
      </c>
      <c r="D8" s="26">
        <v>18</v>
      </c>
      <c r="E8" s="22">
        <f t="shared" si="1"/>
        <v>-0.33333333333333337</v>
      </c>
      <c r="F8" s="26">
        <v>53</v>
      </c>
      <c r="G8" s="26">
        <v>52</v>
      </c>
      <c r="H8" s="26">
        <v>50</v>
      </c>
      <c r="I8" s="15">
        <f t="shared" si="2"/>
        <v>-3.8461538461538436E-2</v>
      </c>
      <c r="J8" s="26">
        <v>636</v>
      </c>
      <c r="K8" s="26">
        <v>523</v>
      </c>
      <c r="L8" s="26">
        <v>564</v>
      </c>
      <c r="M8" s="22">
        <f t="shared" si="3"/>
        <v>7.8393881453154846E-2</v>
      </c>
      <c r="N8" s="13">
        <f t="shared" si="0"/>
        <v>711</v>
      </c>
      <c r="O8" s="13">
        <f t="shared" si="0"/>
        <v>602</v>
      </c>
      <c r="P8" s="13">
        <f t="shared" si="0"/>
        <v>632</v>
      </c>
      <c r="Q8" s="15">
        <f t="shared" si="4"/>
        <v>4.9833887043189362E-2</v>
      </c>
    </row>
    <row r="9" spans="1:17" s="40" customFormat="1" ht="18" customHeight="1" x14ac:dyDescent="0.2">
      <c r="A9" s="25" t="s">
        <v>70</v>
      </c>
      <c r="B9" s="26">
        <v>30</v>
      </c>
      <c r="C9" s="26">
        <v>0</v>
      </c>
      <c r="D9" s="26">
        <v>0</v>
      </c>
      <c r="E9" s="22" t="s">
        <v>62</v>
      </c>
      <c r="F9" s="26">
        <v>15</v>
      </c>
      <c r="G9" s="26">
        <v>0</v>
      </c>
      <c r="H9" s="26">
        <v>0</v>
      </c>
      <c r="I9" s="22" t="s">
        <v>62</v>
      </c>
      <c r="J9" s="26">
        <v>80</v>
      </c>
      <c r="K9" s="26">
        <v>26</v>
      </c>
      <c r="L9" s="26">
        <v>21</v>
      </c>
      <c r="M9" s="22">
        <f t="shared" si="3"/>
        <v>-0.19230769230769229</v>
      </c>
      <c r="N9" s="13">
        <f t="shared" si="0"/>
        <v>125</v>
      </c>
      <c r="O9" s="13">
        <f t="shared" si="0"/>
        <v>26</v>
      </c>
      <c r="P9" s="13">
        <f t="shared" si="0"/>
        <v>21</v>
      </c>
      <c r="Q9" s="15">
        <f t="shared" si="4"/>
        <v>-0.19230769230769229</v>
      </c>
    </row>
    <row r="10" spans="1:17" s="40" customFormat="1" ht="12" customHeight="1" thickBot="1" x14ac:dyDescent="0.25">
      <c r="A10" s="27" t="s">
        <v>0</v>
      </c>
      <c r="B10" s="23">
        <f>SUM(B5:B9)</f>
        <v>145</v>
      </c>
      <c r="C10" s="16">
        <f t="shared" ref="C10:D10" si="5">SUM(C5:C9)</f>
        <v>105</v>
      </c>
      <c r="D10" s="16">
        <f t="shared" si="5"/>
        <v>76</v>
      </c>
      <c r="E10" s="24">
        <f>D10/C10-1</f>
        <v>-0.27619047619047621</v>
      </c>
      <c r="F10" s="16">
        <f t="shared" ref="F10:H10" si="6">SUM(F5:F9)</f>
        <v>418</v>
      </c>
      <c r="G10" s="16">
        <f t="shared" si="6"/>
        <v>366</v>
      </c>
      <c r="H10" s="16">
        <f t="shared" si="6"/>
        <v>425</v>
      </c>
      <c r="I10" s="17">
        <f>H10/G10-1</f>
        <v>0.16120218579234979</v>
      </c>
      <c r="J10" s="23">
        <f t="shared" ref="J10:L10" si="7">SUM(J5:J9)</f>
        <v>10667</v>
      </c>
      <c r="K10" s="16">
        <f t="shared" si="7"/>
        <v>9201</v>
      </c>
      <c r="L10" s="16">
        <f t="shared" si="7"/>
        <v>9497</v>
      </c>
      <c r="M10" s="24">
        <f>L10/K10-1</f>
        <v>3.217041625910233E-2</v>
      </c>
      <c r="N10" s="16">
        <f t="shared" ref="N10:P10" si="8">SUM(N5:N9)</f>
        <v>11230</v>
      </c>
      <c r="O10" s="16">
        <f t="shared" si="8"/>
        <v>9672</v>
      </c>
      <c r="P10" s="16">
        <f t="shared" si="8"/>
        <v>9998</v>
      </c>
      <c r="Q10" s="17">
        <f>P10/O10-1</f>
        <v>3.3705541770057801E-2</v>
      </c>
    </row>
    <row r="11" spans="1:17" s="40" customFormat="1" ht="12" customHeight="1" x14ac:dyDescent="0.2">
      <c r="A11" s="40" t="s">
        <v>338</v>
      </c>
    </row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4" orientation="portrait" r:id="rId1"/>
  <ignoredErrors>
    <ignoredError sqref="B10:H10 N10:Q10" formulaRange="1"/>
    <ignoredError sqref="I10:M10" formula="1" formulaRange="1"/>
  </ignoredError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333D-4C81-47F2-AAD6-CBFF7B6E1EA4}">
  <sheetPr codeName="Planilha47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224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92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113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107" t="s">
        <v>94</v>
      </c>
      <c r="B5" s="26">
        <v>88</v>
      </c>
      <c r="C5" s="26">
        <v>47</v>
      </c>
      <c r="D5" s="26">
        <v>38</v>
      </c>
      <c r="E5" s="22">
        <f>D5/C5-1</f>
        <v>-0.19148936170212771</v>
      </c>
      <c r="F5" s="26">
        <v>219</v>
      </c>
      <c r="G5" s="26">
        <v>197</v>
      </c>
      <c r="H5" s="26">
        <v>232</v>
      </c>
      <c r="I5" s="15">
        <f>H5/G5-1</f>
        <v>0.17766497461928932</v>
      </c>
      <c r="J5" s="13">
        <v>6934</v>
      </c>
      <c r="K5" s="13">
        <v>5967</v>
      </c>
      <c r="L5" s="13">
        <v>6117</v>
      </c>
      <c r="M5" s="22">
        <f>L5/K5-1</f>
        <v>2.513826043237799E-2</v>
      </c>
      <c r="N5" s="13">
        <f t="shared" ref="N5:P7" si="0">B5+F5+J5</f>
        <v>7241</v>
      </c>
      <c r="O5" s="68">
        <f t="shared" si="0"/>
        <v>6211</v>
      </c>
      <c r="P5" s="68">
        <f t="shared" si="0"/>
        <v>6387</v>
      </c>
      <c r="Q5" s="81">
        <f>P5/O5-1</f>
        <v>2.8336821767831255E-2</v>
      </c>
    </row>
    <row r="6" spans="1:17" s="40" customFormat="1" ht="12" customHeight="1" x14ac:dyDescent="0.2">
      <c r="A6" s="107" t="s">
        <v>93</v>
      </c>
      <c r="B6" s="26">
        <v>57</v>
      </c>
      <c r="C6" s="26">
        <v>58</v>
      </c>
      <c r="D6" s="26">
        <v>38</v>
      </c>
      <c r="E6" s="22">
        <f t="shared" ref="E6" si="1">D6/C6-1</f>
        <v>-0.34482758620689657</v>
      </c>
      <c r="F6" s="26">
        <v>199</v>
      </c>
      <c r="G6" s="26">
        <v>169</v>
      </c>
      <c r="H6" s="26">
        <v>193</v>
      </c>
      <c r="I6" s="15">
        <f t="shared" ref="I6" si="2">H6/G6-1</f>
        <v>0.14201183431952669</v>
      </c>
      <c r="J6" s="13">
        <v>3732</v>
      </c>
      <c r="K6" s="13">
        <v>3234</v>
      </c>
      <c r="L6" s="13">
        <v>3380</v>
      </c>
      <c r="M6" s="22">
        <f t="shared" ref="M6" si="3">L6/K6-1</f>
        <v>4.5145330859616584E-2</v>
      </c>
      <c r="N6" s="13">
        <f t="shared" si="0"/>
        <v>3988</v>
      </c>
      <c r="O6" s="13">
        <f t="shared" si="0"/>
        <v>3461</v>
      </c>
      <c r="P6" s="13">
        <f t="shared" si="0"/>
        <v>3611</v>
      </c>
      <c r="Q6" s="15">
        <f t="shared" ref="Q6" si="4">P6/O6-1</f>
        <v>4.3340075122796806E-2</v>
      </c>
    </row>
    <row r="7" spans="1:17" s="40" customFormat="1" ht="12" customHeight="1" x14ac:dyDescent="0.2">
      <c r="A7" s="107" t="s">
        <v>70</v>
      </c>
      <c r="B7" s="26">
        <v>0</v>
      </c>
      <c r="C7" s="26">
        <v>0</v>
      </c>
      <c r="D7" s="26">
        <v>0</v>
      </c>
      <c r="E7" s="22" t="s">
        <v>62</v>
      </c>
      <c r="F7" s="26">
        <v>0</v>
      </c>
      <c r="G7" s="26">
        <v>0</v>
      </c>
      <c r="H7" s="26">
        <v>0</v>
      </c>
      <c r="I7" s="15" t="s">
        <v>62</v>
      </c>
      <c r="J7" s="26">
        <v>1</v>
      </c>
      <c r="K7" s="26">
        <v>0</v>
      </c>
      <c r="L7" s="26">
        <v>0</v>
      </c>
      <c r="M7" s="22" t="s">
        <v>62</v>
      </c>
      <c r="N7" s="13">
        <f t="shared" si="0"/>
        <v>1</v>
      </c>
      <c r="O7" s="13">
        <f t="shared" si="0"/>
        <v>0</v>
      </c>
      <c r="P7" s="13">
        <f t="shared" si="0"/>
        <v>0</v>
      </c>
      <c r="Q7" s="15" t="s">
        <v>62</v>
      </c>
    </row>
    <row r="8" spans="1:17" s="40" customFormat="1" ht="12" customHeight="1" thickBot="1" x14ac:dyDescent="0.25">
      <c r="A8" s="27" t="s">
        <v>0</v>
      </c>
      <c r="B8" s="23">
        <f t="shared" ref="B8:D8" si="5">SUM(B5:B7)</f>
        <v>145</v>
      </c>
      <c r="C8" s="16">
        <f t="shared" si="5"/>
        <v>105</v>
      </c>
      <c r="D8" s="16">
        <f t="shared" si="5"/>
        <v>76</v>
      </c>
      <c r="E8" s="24">
        <f>D8/C8-1</f>
        <v>-0.27619047619047621</v>
      </c>
      <c r="F8" s="16">
        <f t="shared" ref="F8:H8" si="6">SUM(F5:F7)</f>
        <v>418</v>
      </c>
      <c r="G8" s="16">
        <f t="shared" si="6"/>
        <v>366</v>
      </c>
      <c r="H8" s="16">
        <f t="shared" si="6"/>
        <v>425</v>
      </c>
      <c r="I8" s="17">
        <f>H8/G8-1</f>
        <v>0.16120218579234979</v>
      </c>
      <c r="J8" s="23">
        <f t="shared" ref="J8:L8" si="7">SUM(J5:J7)</f>
        <v>10667</v>
      </c>
      <c r="K8" s="16">
        <f t="shared" si="7"/>
        <v>9201</v>
      </c>
      <c r="L8" s="16">
        <f t="shared" si="7"/>
        <v>9497</v>
      </c>
      <c r="M8" s="24">
        <f>L8/K8-1</f>
        <v>3.217041625910233E-2</v>
      </c>
      <c r="N8" s="16">
        <f>SUM(N5:N7)</f>
        <v>11230</v>
      </c>
      <c r="O8" s="16">
        <f t="shared" ref="O8:P8" si="8">SUM(O5:O7)</f>
        <v>9672</v>
      </c>
      <c r="P8" s="16">
        <f t="shared" si="8"/>
        <v>9998</v>
      </c>
      <c r="Q8" s="17">
        <f>P8/O8-1</f>
        <v>3.3705541770057801E-2</v>
      </c>
    </row>
    <row r="9" spans="1:17" s="40" customFormat="1" ht="12" customHeight="1" x14ac:dyDescent="0.2">
      <c r="A9" s="40" t="s">
        <v>338</v>
      </c>
    </row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4" orientation="portrait" r:id="rId1"/>
  <ignoredErrors>
    <ignoredError sqref="B8:D8 N8:Q8" formulaRange="1"/>
    <ignoredError sqref="E8:M8" formula="1" formulaRange="1"/>
  </ignoredError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F028-8378-4B87-BE3E-E40395E2ECBD}">
  <sheetPr codeName="Planilha48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222</v>
      </c>
      <c r="B1" s="110"/>
      <c r="C1" s="110"/>
      <c r="D1" s="110"/>
      <c r="E1" s="110"/>
      <c r="F1" s="110"/>
    </row>
    <row r="2" spans="1:17" s="40" customFormat="1" ht="25.2" customHeight="1" thickBot="1" x14ac:dyDescent="0.25"/>
    <row r="3" spans="1:17" s="40" customFormat="1" ht="13.95" customHeight="1" x14ac:dyDescent="0.2">
      <c r="A3" s="213" t="s">
        <v>210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111</v>
      </c>
      <c r="B5" s="26">
        <v>383</v>
      </c>
      <c r="C5" s="26">
        <v>412</v>
      </c>
      <c r="D5" s="26">
        <v>416</v>
      </c>
      <c r="E5" s="22">
        <f>D5/C5-1</f>
        <v>9.7087378640776656E-3</v>
      </c>
      <c r="F5" s="13">
        <v>1391</v>
      </c>
      <c r="G5" s="13">
        <v>1644</v>
      </c>
      <c r="H5" s="13">
        <v>1656</v>
      </c>
      <c r="I5" s="15">
        <f>H5/G5-1</f>
        <v>7.2992700729928028E-3</v>
      </c>
      <c r="J5" s="13">
        <v>27754</v>
      </c>
      <c r="K5" s="13">
        <v>27778</v>
      </c>
      <c r="L5" s="13">
        <v>28987</v>
      </c>
      <c r="M5" s="22">
        <f>L5/K5-1</f>
        <v>4.3523651810785546E-2</v>
      </c>
      <c r="N5" s="13">
        <f t="shared" ref="N5:P7" si="0">B5+F5+J5</f>
        <v>29528</v>
      </c>
      <c r="O5" s="68">
        <f t="shared" si="0"/>
        <v>29834</v>
      </c>
      <c r="P5" s="68">
        <f t="shared" si="0"/>
        <v>31059</v>
      </c>
      <c r="Q5" s="81">
        <f>P5/O5-1</f>
        <v>4.1060534960112527E-2</v>
      </c>
    </row>
    <row r="6" spans="1:17" s="40" customFormat="1" ht="12" customHeight="1" x14ac:dyDescent="0.2">
      <c r="A6" s="25" t="s">
        <v>344</v>
      </c>
      <c r="B6" s="26">
        <v>10</v>
      </c>
      <c r="C6" s="26">
        <v>10</v>
      </c>
      <c r="D6" s="26">
        <v>8</v>
      </c>
      <c r="E6" s="22">
        <f t="shared" ref="E6:E7" si="1">D6/C6-1</f>
        <v>-0.19999999999999996</v>
      </c>
      <c r="F6" s="26">
        <v>59</v>
      </c>
      <c r="G6" s="26">
        <v>68</v>
      </c>
      <c r="H6" s="26">
        <v>67</v>
      </c>
      <c r="I6" s="15">
        <f t="shared" ref="I6:I7" si="2">H6/G6-1</f>
        <v>-1.4705882352941124E-2</v>
      </c>
      <c r="J6" s="26">
        <v>429</v>
      </c>
      <c r="K6" s="26">
        <v>483</v>
      </c>
      <c r="L6" s="26">
        <v>504</v>
      </c>
      <c r="M6" s="22">
        <f t="shared" ref="M6:M7" si="3">L6/K6-1</f>
        <v>4.3478260869565188E-2</v>
      </c>
      <c r="N6" s="13">
        <f t="shared" si="0"/>
        <v>498</v>
      </c>
      <c r="O6" s="13">
        <f t="shared" si="0"/>
        <v>561</v>
      </c>
      <c r="P6" s="13">
        <f t="shared" si="0"/>
        <v>579</v>
      </c>
      <c r="Q6" s="15">
        <f t="shared" ref="Q6:Q7" si="4">P6/O6-1</f>
        <v>3.2085561497326109E-2</v>
      </c>
    </row>
    <row r="7" spans="1:17" s="40" customFormat="1" ht="12" customHeight="1" x14ac:dyDescent="0.2">
      <c r="A7" s="25" t="s">
        <v>345</v>
      </c>
      <c r="B7" s="26">
        <v>10</v>
      </c>
      <c r="C7" s="26">
        <v>6</v>
      </c>
      <c r="D7" s="26">
        <v>7</v>
      </c>
      <c r="E7" s="22">
        <f t="shared" si="1"/>
        <v>0.16666666666666674</v>
      </c>
      <c r="F7" s="26">
        <v>65</v>
      </c>
      <c r="G7" s="26">
        <v>72</v>
      </c>
      <c r="H7" s="26">
        <v>52</v>
      </c>
      <c r="I7" s="15">
        <f t="shared" si="2"/>
        <v>-0.27777777777777779</v>
      </c>
      <c r="J7" s="26">
        <v>693</v>
      </c>
      <c r="K7" s="26">
        <v>763</v>
      </c>
      <c r="L7" s="26">
        <v>772</v>
      </c>
      <c r="M7" s="22">
        <f t="shared" si="3"/>
        <v>1.1795543905635641E-2</v>
      </c>
      <c r="N7" s="13">
        <f t="shared" si="0"/>
        <v>768</v>
      </c>
      <c r="O7" s="13">
        <f t="shared" si="0"/>
        <v>841</v>
      </c>
      <c r="P7" s="13">
        <f t="shared" si="0"/>
        <v>831</v>
      </c>
      <c r="Q7" s="15">
        <f t="shared" si="4"/>
        <v>-1.189060642092743E-2</v>
      </c>
    </row>
    <row r="8" spans="1:17" s="40" customFormat="1" ht="12" customHeight="1" thickBot="1" x14ac:dyDescent="0.25">
      <c r="A8" s="27" t="s">
        <v>0</v>
      </c>
      <c r="B8" s="23">
        <f>SUM(B5:B7)</f>
        <v>403</v>
      </c>
      <c r="C8" s="16">
        <f t="shared" ref="C8:D8" si="5">SUM(C5:C7)</f>
        <v>428</v>
      </c>
      <c r="D8" s="16">
        <f t="shared" si="5"/>
        <v>431</v>
      </c>
      <c r="E8" s="24">
        <f t="shared" ref="E8" si="6">D8/C8-1</f>
        <v>7.0093457943924964E-3</v>
      </c>
      <c r="F8" s="16">
        <f t="shared" ref="F8:H8" si="7">SUM(F5:F7)</f>
        <v>1515</v>
      </c>
      <c r="G8" s="16">
        <f t="shared" si="7"/>
        <v>1784</v>
      </c>
      <c r="H8" s="16">
        <f t="shared" si="7"/>
        <v>1775</v>
      </c>
      <c r="I8" s="17">
        <f t="shared" ref="I8" si="8">H8/G8-1</f>
        <v>-5.0448430493273966E-3</v>
      </c>
      <c r="J8" s="23">
        <f t="shared" ref="J8:L8" si="9">SUM(J5:J7)</f>
        <v>28876</v>
      </c>
      <c r="K8" s="16">
        <f t="shared" si="9"/>
        <v>29024</v>
      </c>
      <c r="L8" s="16">
        <f t="shared" si="9"/>
        <v>30263</v>
      </c>
      <c r="M8" s="24">
        <f t="shared" ref="M8" si="10">L8/K8-1</f>
        <v>4.268880926130092E-2</v>
      </c>
      <c r="N8" s="16">
        <f t="shared" ref="N8:P8" si="11">SUM(N5:N7)</f>
        <v>30794</v>
      </c>
      <c r="O8" s="16">
        <f t="shared" si="11"/>
        <v>31236</v>
      </c>
      <c r="P8" s="16">
        <f t="shared" si="11"/>
        <v>32469</v>
      </c>
      <c r="Q8" s="17">
        <f t="shared" ref="Q8" si="12">P8/O8-1</f>
        <v>3.9473684210526327E-2</v>
      </c>
    </row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8" orientation="portrait" r:id="rId1"/>
  <ignoredErrors>
    <ignoredError sqref="B8:H8 N8:Q8" formulaRange="1"/>
    <ignoredError sqref="I8:M8" formula="1" formulaRange="1"/>
  </ignoredError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32A6-4A35-4789-A81B-F83E28397FF8}">
  <sheetPr codeName="Planilha49"/>
  <dimension ref="A1:G34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7" customWidth="1"/>
    <col min="2" max="4" width="7.6640625" style="37" customWidth="1"/>
    <col min="5" max="5" width="16.109375" style="37" bestFit="1" customWidth="1"/>
    <col min="6" max="24" width="5.6640625" style="37" customWidth="1"/>
    <col min="25" max="16384" width="9.109375" style="37"/>
  </cols>
  <sheetData>
    <row r="1" spans="1:7" ht="19.95" customHeight="1" x14ac:dyDescent="0.3">
      <c r="A1" s="1" t="s">
        <v>361</v>
      </c>
      <c r="B1" s="29"/>
      <c r="C1" s="29"/>
      <c r="D1" s="29"/>
      <c r="E1" s="29"/>
      <c r="F1" s="29"/>
      <c r="G1" s="33"/>
    </row>
    <row r="2" spans="1:7" s="40" customFormat="1" ht="25.2" customHeight="1" thickBot="1" x14ac:dyDescent="0.25"/>
    <row r="3" spans="1:7" s="40" customFormat="1" ht="22.95" customHeight="1" thickBot="1" x14ac:dyDescent="0.25">
      <c r="A3" s="133" t="s">
        <v>112</v>
      </c>
      <c r="B3" s="99" t="s">
        <v>50</v>
      </c>
      <c r="C3" s="100" t="s">
        <v>51</v>
      </c>
      <c r="D3" s="99" t="s">
        <v>52</v>
      </c>
      <c r="E3" s="100" t="s">
        <v>163</v>
      </c>
    </row>
    <row r="4" spans="1:7" s="40" customFormat="1" ht="13.95" customHeight="1" x14ac:dyDescent="0.2">
      <c r="A4" s="101">
        <v>2019</v>
      </c>
      <c r="B4" s="200">
        <v>403</v>
      </c>
      <c r="C4" s="92">
        <v>1515</v>
      </c>
      <c r="D4" s="203">
        <v>28876</v>
      </c>
      <c r="E4" s="94">
        <f>B4+C4+D4</f>
        <v>30794</v>
      </c>
    </row>
    <row r="5" spans="1:7" s="40" customFormat="1" ht="12" customHeight="1" x14ac:dyDescent="0.2">
      <c r="A5" s="101">
        <v>2020</v>
      </c>
      <c r="B5" s="201">
        <v>357</v>
      </c>
      <c r="C5" s="94">
        <v>1275</v>
      </c>
      <c r="D5" s="204">
        <v>21938</v>
      </c>
      <c r="E5" s="94">
        <f t="shared" ref="E5:E7" si="0">B5+C5+D5</f>
        <v>23570</v>
      </c>
    </row>
    <row r="6" spans="1:7" s="40" customFormat="1" ht="12" customHeight="1" x14ac:dyDescent="0.2">
      <c r="A6" s="101">
        <v>2021</v>
      </c>
      <c r="B6" s="201">
        <v>378</v>
      </c>
      <c r="C6" s="94">
        <v>1491</v>
      </c>
      <c r="D6" s="204">
        <v>24419</v>
      </c>
      <c r="E6" s="94">
        <f t="shared" si="0"/>
        <v>26288</v>
      </c>
    </row>
    <row r="7" spans="1:7" s="40" customFormat="1" ht="12" customHeight="1" x14ac:dyDescent="0.2">
      <c r="A7" s="101">
        <v>2022</v>
      </c>
      <c r="B7" s="201">
        <v>404</v>
      </c>
      <c r="C7" s="94">
        <v>1538</v>
      </c>
      <c r="D7" s="204">
        <v>27049</v>
      </c>
      <c r="E7" s="94">
        <f t="shared" si="0"/>
        <v>28991</v>
      </c>
    </row>
    <row r="8" spans="1:7" s="40" customFormat="1" ht="12" customHeight="1" x14ac:dyDescent="0.2">
      <c r="A8" s="101">
        <v>2023</v>
      </c>
      <c r="B8" s="201">
        <v>428</v>
      </c>
      <c r="C8" s="94">
        <v>1784</v>
      </c>
      <c r="D8" s="204">
        <v>29024</v>
      </c>
      <c r="E8" s="94">
        <v>31236</v>
      </c>
    </row>
    <row r="9" spans="1:7" s="40" customFormat="1" ht="12" customHeight="1" thickBot="1" x14ac:dyDescent="0.25">
      <c r="A9" s="102">
        <v>2024</v>
      </c>
      <c r="B9" s="202">
        <v>431</v>
      </c>
      <c r="C9" s="159">
        <v>1775</v>
      </c>
      <c r="D9" s="205">
        <v>30263</v>
      </c>
      <c r="E9" s="103">
        <v>32469</v>
      </c>
    </row>
    <row r="10" spans="1:7" s="40" customFormat="1" ht="12" customHeight="1" x14ac:dyDescent="0.2"/>
    <row r="11" spans="1:7" s="40" customFormat="1" ht="12" customHeight="1" x14ac:dyDescent="0.2"/>
    <row r="12" spans="1:7" s="40" customFormat="1" ht="12" customHeight="1" x14ac:dyDescent="0.2"/>
    <row r="13" spans="1:7" s="40" customFormat="1" ht="12" customHeight="1" x14ac:dyDescent="0.2"/>
    <row r="14" spans="1:7" s="40" customFormat="1" ht="12" customHeight="1" x14ac:dyDescent="0.2"/>
    <row r="15" spans="1:7" s="40" customFormat="1" ht="12" customHeight="1" x14ac:dyDescent="0.2"/>
    <row r="16" spans="1: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s="40" customFormat="1" ht="12" customHeight="1" x14ac:dyDescent="0.2"/>
    <row r="31" ht="12" customHeight="1" x14ac:dyDescent="0.3"/>
    <row r="32" ht="12" customHeight="1" x14ac:dyDescent="0.3"/>
    <row r="33" ht="12" customHeight="1" x14ac:dyDescent="0.3"/>
    <row r="34" ht="12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2BC6-B4A2-4093-BF1F-FD061A2065D1}">
  <sheetPr codeName="Planilha50"/>
  <dimension ref="A1:Q33"/>
  <sheetViews>
    <sheetView showGridLines="0" zoomScale="120" zoomScaleNormal="120" workbookViewId="0">
      <selection activeCell="G1" sqref="G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202</v>
      </c>
      <c r="B1" s="110"/>
      <c r="C1" s="110"/>
      <c r="D1" s="110"/>
      <c r="E1" s="110"/>
      <c r="F1" s="110"/>
    </row>
    <row r="2" spans="1:17" s="40" customFormat="1" ht="25.2" customHeight="1" thickBot="1" x14ac:dyDescent="0.25"/>
    <row r="3" spans="1:17" s="40" customFormat="1" ht="13.95" customHeight="1" x14ac:dyDescent="0.2">
      <c r="A3" s="213" t="s">
        <v>48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264</v>
      </c>
      <c r="B5" s="26">
        <v>38</v>
      </c>
      <c r="C5" s="26">
        <v>33</v>
      </c>
      <c r="D5" s="26">
        <v>35</v>
      </c>
      <c r="E5" s="22">
        <f t="shared" ref="E5:E16" si="0">D5/C5-1</f>
        <v>6.0606060606060552E-2</v>
      </c>
      <c r="F5" s="26">
        <v>90</v>
      </c>
      <c r="G5" s="26">
        <v>107</v>
      </c>
      <c r="H5" s="26">
        <v>127</v>
      </c>
      <c r="I5" s="15">
        <f t="shared" ref="I5:I16" si="1">H5/G5-1</f>
        <v>0.18691588785046731</v>
      </c>
      <c r="J5" s="13">
        <v>2198</v>
      </c>
      <c r="K5" s="13">
        <v>2109</v>
      </c>
      <c r="L5" s="13">
        <v>2086</v>
      </c>
      <c r="M5" s="22">
        <f t="shared" ref="M5:M16" si="2">L5/K5-1</f>
        <v>-1.0905642484589806E-2</v>
      </c>
      <c r="N5" s="13">
        <f t="shared" ref="N5:N16" si="3">B5+F5+J5</f>
        <v>2326</v>
      </c>
      <c r="O5" s="13">
        <f t="shared" ref="O5:O16" si="4">C5+G5+K5</f>
        <v>2249</v>
      </c>
      <c r="P5" s="18">
        <f t="shared" ref="P5:P16" si="5">D5+H5+L5</f>
        <v>2248</v>
      </c>
      <c r="Q5" s="19">
        <f t="shared" ref="Q5:Q16" si="6">P5/O5-1</f>
        <v>-4.4464206313921117E-4</v>
      </c>
    </row>
    <row r="6" spans="1:17" s="40" customFormat="1" ht="12" customHeight="1" x14ac:dyDescent="0.2">
      <c r="A6" s="25" t="s">
        <v>265</v>
      </c>
      <c r="B6" s="26">
        <v>33</v>
      </c>
      <c r="C6" s="26">
        <v>29</v>
      </c>
      <c r="D6" s="26">
        <v>31</v>
      </c>
      <c r="E6" s="22">
        <f t="shared" si="0"/>
        <v>6.8965517241379226E-2</v>
      </c>
      <c r="F6" s="26">
        <v>86</v>
      </c>
      <c r="G6" s="26">
        <v>121</v>
      </c>
      <c r="H6" s="26">
        <v>125</v>
      </c>
      <c r="I6" s="15">
        <f t="shared" si="1"/>
        <v>3.3057851239669311E-2</v>
      </c>
      <c r="J6" s="13">
        <v>1910</v>
      </c>
      <c r="K6" s="13">
        <v>1881</v>
      </c>
      <c r="L6" s="13">
        <v>2120</v>
      </c>
      <c r="M6" s="22">
        <f t="shared" si="2"/>
        <v>0.12706007442849554</v>
      </c>
      <c r="N6" s="13">
        <f t="shared" si="3"/>
        <v>2029</v>
      </c>
      <c r="O6" s="13">
        <f t="shared" si="4"/>
        <v>2031</v>
      </c>
      <c r="P6" s="13">
        <f t="shared" si="5"/>
        <v>2276</v>
      </c>
      <c r="Q6" s="15">
        <f t="shared" si="6"/>
        <v>0.12063023141309692</v>
      </c>
    </row>
    <row r="7" spans="1:17" s="40" customFormat="1" ht="12" customHeight="1" x14ac:dyDescent="0.2">
      <c r="A7" s="25" t="s">
        <v>266</v>
      </c>
      <c r="B7" s="26">
        <v>28</v>
      </c>
      <c r="C7" s="26">
        <v>23</v>
      </c>
      <c r="D7" s="26">
        <v>24</v>
      </c>
      <c r="E7" s="22">
        <f t="shared" si="0"/>
        <v>4.3478260869565188E-2</v>
      </c>
      <c r="F7" s="26">
        <v>117</v>
      </c>
      <c r="G7" s="26">
        <v>127</v>
      </c>
      <c r="H7" s="26">
        <v>108</v>
      </c>
      <c r="I7" s="15">
        <f t="shared" si="1"/>
        <v>-0.14960629921259838</v>
      </c>
      <c r="J7" s="13">
        <v>2262</v>
      </c>
      <c r="K7" s="13">
        <v>2213</v>
      </c>
      <c r="L7" s="13">
        <v>2183</v>
      </c>
      <c r="M7" s="22">
        <f t="shared" si="2"/>
        <v>-1.3556258472661509E-2</v>
      </c>
      <c r="N7" s="13">
        <f t="shared" si="3"/>
        <v>2407</v>
      </c>
      <c r="O7" s="13">
        <f t="shared" si="4"/>
        <v>2363</v>
      </c>
      <c r="P7" s="13">
        <f t="shared" si="5"/>
        <v>2315</v>
      </c>
      <c r="Q7" s="15">
        <f t="shared" si="6"/>
        <v>-2.0313161235717359E-2</v>
      </c>
    </row>
    <row r="8" spans="1:17" s="40" customFormat="1" ht="12" customHeight="1" x14ac:dyDescent="0.2">
      <c r="A8" s="25" t="s">
        <v>267</v>
      </c>
      <c r="B8" s="26">
        <v>28</v>
      </c>
      <c r="C8" s="26">
        <v>48</v>
      </c>
      <c r="D8" s="26">
        <v>30</v>
      </c>
      <c r="E8" s="22">
        <f t="shared" si="0"/>
        <v>-0.375</v>
      </c>
      <c r="F8" s="26">
        <v>114</v>
      </c>
      <c r="G8" s="26">
        <v>162</v>
      </c>
      <c r="H8" s="26">
        <v>150</v>
      </c>
      <c r="I8" s="15">
        <f t="shared" si="1"/>
        <v>-7.407407407407407E-2</v>
      </c>
      <c r="J8" s="13">
        <v>2218</v>
      </c>
      <c r="K8" s="13">
        <v>2406</v>
      </c>
      <c r="L8" s="13">
        <v>2423</v>
      </c>
      <c r="M8" s="22">
        <f t="shared" si="2"/>
        <v>7.0656691604322752E-3</v>
      </c>
      <c r="N8" s="13">
        <f t="shared" si="3"/>
        <v>2360</v>
      </c>
      <c r="O8" s="13">
        <f t="shared" si="4"/>
        <v>2616</v>
      </c>
      <c r="P8" s="13">
        <f t="shared" si="5"/>
        <v>2603</v>
      </c>
      <c r="Q8" s="15">
        <f t="shared" si="6"/>
        <v>-4.9694189602446093E-3</v>
      </c>
    </row>
    <row r="9" spans="1:17" s="40" customFormat="1" ht="12" customHeight="1" x14ac:dyDescent="0.2">
      <c r="A9" s="25" t="s">
        <v>268</v>
      </c>
      <c r="B9" s="26">
        <v>36</v>
      </c>
      <c r="C9" s="26">
        <v>32</v>
      </c>
      <c r="D9" s="26">
        <v>41</v>
      </c>
      <c r="E9" s="22">
        <f t="shared" si="0"/>
        <v>0.28125</v>
      </c>
      <c r="F9" s="26">
        <v>145</v>
      </c>
      <c r="G9" s="26">
        <v>150</v>
      </c>
      <c r="H9" s="26">
        <v>158</v>
      </c>
      <c r="I9" s="15">
        <f t="shared" si="1"/>
        <v>5.3333333333333233E-2</v>
      </c>
      <c r="J9" s="13">
        <v>2554</v>
      </c>
      <c r="K9" s="13">
        <v>2545</v>
      </c>
      <c r="L9" s="13">
        <v>2716</v>
      </c>
      <c r="M9" s="22">
        <f t="shared" si="2"/>
        <v>6.7190569744597139E-2</v>
      </c>
      <c r="N9" s="13">
        <f t="shared" si="3"/>
        <v>2735</v>
      </c>
      <c r="O9" s="13">
        <f t="shared" si="4"/>
        <v>2727</v>
      </c>
      <c r="P9" s="13">
        <f t="shared" si="5"/>
        <v>2915</v>
      </c>
      <c r="Q9" s="15">
        <f t="shared" si="6"/>
        <v>6.8940227356068862E-2</v>
      </c>
    </row>
    <row r="10" spans="1:17" s="40" customFormat="1" ht="12" customHeight="1" x14ac:dyDescent="0.2">
      <c r="A10" s="25" t="s">
        <v>269</v>
      </c>
      <c r="B10" s="26">
        <v>31</v>
      </c>
      <c r="C10" s="26">
        <v>45</v>
      </c>
      <c r="D10" s="26">
        <v>37</v>
      </c>
      <c r="E10" s="22">
        <f t="shared" si="0"/>
        <v>-0.17777777777777781</v>
      </c>
      <c r="F10" s="26">
        <v>134</v>
      </c>
      <c r="G10" s="26">
        <v>191</v>
      </c>
      <c r="H10" s="26">
        <v>152</v>
      </c>
      <c r="I10" s="15">
        <f t="shared" si="1"/>
        <v>-0.20418848167539272</v>
      </c>
      <c r="J10" s="13">
        <v>2363</v>
      </c>
      <c r="K10" s="13">
        <v>2591</v>
      </c>
      <c r="L10" s="13">
        <v>2639</v>
      </c>
      <c r="M10" s="22">
        <f t="shared" si="2"/>
        <v>1.8525665766113475E-2</v>
      </c>
      <c r="N10" s="13">
        <f t="shared" si="3"/>
        <v>2528</v>
      </c>
      <c r="O10" s="13">
        <f t="shared" si="4"/>
        <v>2827</v>
      </c>
      <c r="P10" s="13">
        <f t="shared" si="5"/>
        <v>2828</v>
      </c>
      <c r="Q10" s="15">
        <f t="shared" si="6"/>
        <v>3.5373187124165817E-4</v>
      </c>
    </row>
    <row r="11" spans="1:17" s="40" customFormat="1" ht="12" customHeight="1" x14ac:dyDescent="0.2">
      <c r="A11" s="25" t="s">
        <v>270</v>
      </c>
      <c r="B11" s="26">
        <v>32</v>
      </c>
      <c r="C11" s="26">
        <v>42</v>
      </c>
      <c r="D11" s="26">
        <v>49</v>
      </c>
      <c r="E11" s="22">
        <f t="shared" si="0"/>
        <v>0.16666666666666674</v>
      </c>
      <c r="F11" s="26">
        <v>152</v>
      </c>
      <c r="G11" s="26">
        <v>211</v>
      </c>
      <c r="H11" s="26">
        <v>204</v>
      </c>
      <c r="I11" s="15">
        <f t="shared" si="1"/>
        <v>-3.3175355450236976E-2</v>
      </c>
      <c r="J11" s="13">
        <v>2799</v>
      </c>
      <c r="K11" s="13">
        <v>2905</v>
      </c>
      <c r="L11" s="13">
        <v>2917</v>
      </c>
      <c r="M11" s="22">
        <f t="shared" si="2"/>
        <v>4.1308089500859957E-3</v>
      </c>
      <c r="N11" s="13">
        <f t="shared" si="3"/>
        <v>2983</v>
      </c>
      <c r="O11" s="13">
        <f t="shared" si="4"/>
        <v>3158</v>
      </c>
      <c r="P11" s="13">
        <f t="shared" si="5"/>
        <v>3170</v>
      </c>
      <c r="Q11" s="15">
        <f t="shared" si="6"/>
        <v>3.7998733375554927E-3</v>
      </c>
    </row>
    <row r="12" spans="1:17" s="40" customFormat="1" ht="12" customHeight="1" x14ac:dyDescent="0.2">
      <c r="A12" s="25" t="s">
        <v>271</v>
      </c>
      <c r="B12" s="26">
        <v>46</v>
      </c>
      <c r="C12" s="26">
        <v>43</v>
      </c>
      <c r="D12" s="26">
        <v>51</v>
      </c>
      <c r="E12" s="22">
        <f t="shared" si="0"/>
        <v>0.18604651162790709</v>
      </c>
      <c r="F12" s="26">
        <v>186</v>
      </c>
      <c r="G12" s="26">
        <v>202</v>
      </c>
      <c r="H12" s="26">
        <v>182</v>
      </c>
      <c r="I12" s="15">
        <f t="shared" si="1"/>
        <v>-9.9009900990098987E-2</v>
      </c>
      <c r="J12" s="13">
        <v>2723</v>
      </c>
      <c r="K12" s="13">
        <v>2888</v>
      </c>
      <c r="L12" s="13">
        <v>2723</v>
      </c>
      <c r="M12" s="22">
        <f t="shared" si="2"/>
        <v>-5.7132963988919649E-2</v>
      </c>
      <c r="N12" s="13">
        <f t="shared" si="3"/>
        <v>2955</v>
      </c>
      <c r="O12" s="13">
        <f t="shared" si="4"/>
        <v>3133</v>
      </c>
      <c r="P12" s="13">
        <f t="shared" si="5"/>
        <v>2956</v>
      </c>
      <c r="Q12" s="15">
        <f t="shared" si="6"/>
        <v>-5.6495371848068965E-2</v>
      </c>
    </row>
    <row r="13" spans="1:17" s="40" customFormat="1" ht="12" customHeight="1" x14ac:dyDescent="0.2">
      <c r="A13" s="25" t="s">
        <v>272</v>
      </c>
      <c r="B13" s="26">
        <v>39</v>
      </c>
      <c r="C13" s="26">
        <v>35</v>
      </c>
      <c r="D13" s="26">
        <v>42</v>
      </c>
      <c r="E13" s="22">
        <f t="shared" si="0"/>
        <v>0.19999999999999996</v>
      </c>
      <c r="F13" s="26">
        <v>134</v>
      </c>
      <c r="G13" s="26">
        <v>152</v>
      </c>
      <c r="H13" s="26">
        <v>155</v>
      </c>
      <c r="I13" s="15">
        <f t="shared" si="1"/>
        <v>1.9736842105263053E-2</v>
      </c>
      <c r="J13" s="13">
        <v>2502</v>
      </c>
      <c r="K13" s="13">
        <v>2572</v>
      </c>
      <c r="L13" s="13">
        <v>2721</v>
      </c>
      <c r="M13" s="22">
        <f t="shared" si="2"/>
        <v>5.7931570762052909E-2</v>
      </c>
      <c r="N13" s="13">
        <f t="shared" si="3"/>
        <v>2675</v>
      </c>
      <c r="O13" s="13">
        <f t="shared" si="4"/>
        <v>2759</v>
      </c>
      <c r="P13" s="13">
        <f t="shared" si="5"/>
        <v>2918</v>
      </c>
      <c r="Q13" s="15">
        <f t="shared" si="6"/>
        <v>5.7629575933309196E-2</v>
      </c>
    </row>
    <row r="14" spans="1:17" s="40" customFormat="1" ht="12" customHeight="1" x14ac:dyDescent="0.2">
      <c r="A14" s="25" t="s">
        <v>273</v>
      </c>
      <c r="B14" s="26">
        <v>26</v>
      </c>
      <c r="C14" s="26">
        <v>38</v>
      </c>
      <c r="D14" s="26">
        <v>28</v>
      </c>
      <c r="E14" s="22">
        <f t="shared" si="0"/>
        <v>-0.26315789473684215</v>
      </c>
      <c r="F14" s="26">
        <v>129</v>
      </c>
      <c r="G14" s="26">
        <v>126</v>
      </c>
      <c r="H14" s="26">
        <v>133</v>
      </c>
      <c r="I14" s="15">
        <f t="shared" si="1"/>
        <v>5.555555555555558E-2</v>
      </c>
      <c r="J14" s="13">
        <v>2724</v>
      </c>
      <c r="K14" s="13">
        <v>2459</v>
      </c>
      <c r="L14" s="13">
        <v>2705</v>
      </c>
      <c r="M14" s="22">
        <f t="shared" si="2"/>
        <v>0.10004066693777958</v>
      </c>
      <c r="N14" s="13">
        <f t="shared" si="3"/>
        <v>2879</v>
      </c>
      <c r="O14" s="13">
        <f t="shared" si="4"/>
        <v>2623</v>
      </c>
      <c r="P14" s="13">
        <f t="shared" si="5"/>
        <v>2866</v>
      </c>
      <c r="Q14" s="15">
        <f t="shared" si="6"/>
        <v>9.2642012962256937E-2</v>
      </c>
    </row>
    <row r="15" spans="1:17" s="40" customFormat="1" ht="12" customHeight="1" x14ac:dyDescent="0.2">
      <c r="A15" s="25" t="s">
        <v>274</v>
      </c>
      <c r="B15" s="26">
        <v>34</v>
      </c>
      <c r="C15" s="26">
        <v>27</v>
      </c>
      <c r="D15" s="26">
        <v>28</v>
      </c>
      <c r="E15" s="22">
        <f t="shared" si="0"/>
        <v>3.7037037037036979E-2</v>
      </c>
      <c r="F15" s="26">
        <v>113</v>
      </c>
      <c r="G15" s="26">
        <v>109</v>
      </c>
      <c r="H15" s="26">
        <v>131</v>
      </c>
      <c r="I15" s="15">
        <f t="shared" si="1"/>
        <v>0.201834862385321</v>
      </c>
      <c r="J15" s="13">
        <v>2335</v>
      </c>
      <c r="K15" s="13">
        <v>2284</v>
      </c>
      <c r="L15" s="13">
        <v>2454</v>
      </c>
      <c r="M15" s="22">
        <f t="shared" si="2"/>
        <v>7.4430823117338063E-2</v>
      </c>
      <c r="N15" s="13">
        <f t="shared" si="3"/>
        <v>2482</v>
      </c>
      <c r="O15" s="13">
        <f t="shared" si="4"/>
        <v>2420</v>
      </c>
      <c r="P15" s="13">
        <f t="shared" si="5"/>
        <v>2613</v>
      </c>
      <c r="Q15" s="15">
        <f t="shared" si="6"/>
        <v>7.9752066115702513E-2</v>
      </c>
    </row>
    <row r="16" spans="1:17" s="40" customFormat="1" ht="12" customHeight="1" x14ac:dyDescent="0.2">
      <c r="A16" s="25" t="s">
        <v>275</v>
      </c>
      <c r="B16" s="26">
        <v>32</v>
      </c>
      <c r="C16" s="26">
        <v>33</v>
      </c>
      <c r="D16" s="26">
        <v>35</v>
      </c>
      <c r="E16" s="22">
        <f t="shared" si="0"/>
        <v>6.0606060606060552E-2</v>
      </c>
      <c r="F16" s="26">
        <v>115</v>
      </c>
      <c r="G16" s="26">
        <v>126</v>
      </c>
      <c r="H16" s="26">
        <v>150</v>
      </c>
      <c r="I16" s="15">
        <f t="shared" si="1"/>
        <v>0.19047619047619047</v>
      </c>
      <c r="J16" s="13">
        <v>2288</v>
      </c>
      <c r="K16" s="13">
        <v>2171</v>
      </c>
      <c r="L16" s="13">
        <v>2576</v>
      </c>
      <c r="M16" s="22">
        <f t="shared" si="2"/>
        <v>0.18654997696913855</v>
      </c>
      <c r="N16" s="13">
        <f t="shared" si="3"/>
        <v>2435</v>
      </c>
      <c r="O16" s="13">
        <f t="shared" si="4"/>
        <v>2330</v>
      </c>
      <c r="P16" s="13">
        <f t="shared" si="5"/>
        <v>2761</v>
      </c>
      <c r="Q16" s="15">
        <f t="shared" si="6"/>
        <v>0.18497854077253217</v>
      </c>
    </row>
    <row r="17" spans="1:17" s="40" customFormat="1" ht="12" customHeight="1" thickBot="1" x14ac:dyDescent="0.25">
      <c r="A17" s="27" t="s">
        <v>0</v>
      </c>
      <c r="B17" s="23">
        <f>SUM(B5:B16)</f>
        <v>403</v>
      </c>
      <c r="C17" s="16">
        <f t="shared" ref="C17:D17" si="7">SUM(C5:C16)</f>
        <v>428</v>
      </c>
      <c r="D17" s="16">
        <f t="shared" si="7"/>
        <v>431</v>
      </c>
      <c r="E17" s="24">
        <f>D17/C17-1</f>
        <v>7.0093457943924964E-3</v>
      </c>
      <c r="F17" s="16">
        <f t="shared" ref="F17:H17" si="8">SUM(F5:F16)</f>
        <v>1515</v>
      </c>
      <c r="G17" s="16">
        <f t="shared" si="8"/>
        <v>1784</v>
      </c>
      <c r="H17" s="16">
        <f t="shared" si="8"/>
        <v>1775</v>
      </c>
      <c r="I17" s="17">
        <f>H17/G17-1</f>
        <v>-5.0448430493273966E-3</v>
      </c>
      <c r="J17" s="23">
        <f t="shared" ref="J17:L17" si="9">SUM(J5:J16)</f>
        <v>28876</v>
      </c>
      <c r="K17" s="16">
        <f t="shared" si="9"/>
        <v>29024</v>
      </c>
      <c r="L17" s="16">
        <f t="shared" si="9"/>
        <v>30263</v>
      </c>
      <c r="M17" s="24">
        <f>L17/K17-1</f>
        <v>4.268880926130092E-2</v>
      </c>
      <c r="N17" s="16">
        <f t="shared" ref="N17:P17" si="10">SUM(N5:N16)</f>
        <v>30794</v>
      </c>
      <c r="O17" s="16">
        <f t="shared" si="10"/>
        <v>31236</v>
      </c>
      <c r="P17" s="16">
        <f t="shared" si="10"/>
        <v>32469</v>
      </c>
      <c r="Q17" s="17">
        <f>P17/O17-1</f>
        <v>3.9473684210526327E-2</v>
      </c>
    </row>
    <row r="18" spans="1:17" s="40" customFormat="1" ht="12" customHeight="1" x14ac:dyDescent="0.2"/>
    <row r="19" spans="1:17" s="40" customFormat="1" ht="12" customHeight="1" x14ac:dyDescent="0.2"/>
    <row r="20" spans="1:17" s="40" customFormat="1" ht="12" customHeight="1" x14ac:dyDescent="0.2"/>
    <row r="21" spans="1:17" s="40" customFormat="1" ht="12" customHeight="1" x14ac:dyDescent="0.2"/>
    <row r="22" spans="1:17" s="40" customFormat="1" ht="12" customHeight="1" x14ac:dyDescent="0.2"/>
    <row r="23" spans="1:17" s="40" customFormat="1" ht="12" customHeight="1" x14ac:dyDescent="0.2"/>
    <row r="24" spans="1:17" s="40" customFormat="1" ht="12" customHeight="1" x14ac:dyDescent="0.2"/>
    <row r="25" spans="1:17" s="40" customFormat="1" ht="12" customHeight="1" x14ac:dyDescent="0.2"/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17:H17 N17:Q17" formulaRange="1"/>
    <ignoredError sqref="I17:M17" formula="1" formulaRange="1"/>
  </ignoredError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5C2-8C2C-4C4D-9BC0-505272E98CBC}">
  <sheetPr codeName="Planilha51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203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59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339</v>
      </c>
      <c r="B5" s="26">
        <v>51</v>
      </c>
      <c r="C5" s="26">
        <v>51</v>
      </c>
      <c r="D5" s="26">
        <v>40</v>
      </c>
      <c r="E5" s="22">
        <f t="shared" ref="E5:E11" si="0">D5/C5-1</f>
        <v>-0.21568627450980393</v>
      </c>
      <c r="F5" s="26">
        <v>160</v>
      </c>
      <c r="G5" s="26">
        <v>229</v>
      </c>
      <c r="H5" s="26">
        <v>243</v>
      </c>
      <c r="I5" s="15">
        <f t="shared" ref="I5:I11" si="1">H5/G5-1</f>
        <v>6.1135371179039222E-2</v>
      </c>
      <c r="J5" s="13">
        <v>4140</v>
      </c>
      <c r="K5" s="13">
        <v>4244</v>
      </c>
      <c r="L5" s="13">
        <v>4356</v>
      </c>
      <c r="M5" s="22">
        <f t="shared" ref="M5:M11" si="2">L5/K5-1</f>
        <v>2.6390197926484449E-2</v>
      </c>
      <c r="N5" s="13">
        <f t="shared" ref="N5:P11" si="3">B5+F5+J5</f>
        <v>4351</v>
      </c>
      <c r="O5" s="68">
        <f t="shared" si="3"/>
        <v>4524</v>
      </c>
      <c r="P5" s="68">
        <f t="shared" si="3"/>
        <v>4639</v>
      </c>
      <c r="Q5" s="81">
        <f t="shared" ref="Q5:Q11" si="4">P5/O5-1</f>
        <v>2.5419982316533973E-2</v>
      </c>
    </row>
    <row r="6" spans="1:17" s="40" customFormat="1" ht="12" customHeight="1" x14ac:dyDescent="0.2">
      <c r="A6" s="25" t="s">
        <v>340</v>
      </c>
      <c r="B6" s="26">
        <v>46</v>
      </c>
      <c r="C6" s="26">
        <v>42</v>
      </c>
      <c r="D6" s="26">
        <v>55</v>
      </c>
      <c r="E6" s="22">
        <f t="shared" si="0"/>
        <v>0.30952380952380953</v>
      </c>
      <c r="F6" s="26">
        <v>201</v>
      </c>
      <c r="G6" s="26">
        <v>217</v>
      </c>
      <c r="H6" s="26">
        <v>227</v>
      </c>
      <c r="I6" s="15">
        <f t="shared" si="1"/>
        <v>4.6082949308755783E-2</v>
      </c>
      <c r="J6" s="13">
        <v>4225</v>
      </c>
      <c r="K6" s="13">
        <v>4121</v>
      </c>
      <c r="L6" s="13">
        <v>4531</v>
      </c>
      <c r="M6" s="22">
        <f t="shared" si="2"/>
        <v>9.9490414947828176E-2</v>
      </c>
      <c r="N6" s="13">
        <f t="shared" si="3"/>
        <v>4472</v>
      </c>
      <c r="O6" s="13">
        <f t="shared" si="3"/>
        <v>4380</v>
      </c>
      <c r="P6" s="13">
        <f t="shared" si="3"/>
        <v>4813</v>
      </c>
      <c r="Q6" s="15">
        <f t="shared" si="4"/>
        <v>9.8858447488584522E-2</v>
      </c>
    </row>
    <row r="7" spans="1:17" s="40" customFormat="1" ht="12" customHeight="1" x14ac:dyDescent="0.2">
      <c r="A7" s="25" t="s">
        <v>341</v>
      </c>
      <c r="B7" s="26">
        <v>41</v>
      </c>
      <c r="C7" s="26">
        <v>40</v>
      </c>
      <c r="D7" s="26">
        <v>46</v>
      </c>
      <c r="E7" s="22">
        <f t="shared" si="0"/>
        <v>0.14999999999999991</v>
      </c>
      <c r="F7" s="26">
        <v>169</v>
      </c>
      <c r="G7" s="26">
        <v>225</v>
      </c>
      <c r="H7" s="26">
        <v>231</v>
      </c>
      <c r="I7" s="15">
        <f t="shared" si="1"/>
        <v>2.6666666666666616E-2</v>
      </c>
      <c r="J7" s="13">
        <v>4162</v>
      </c>
      <c r="K7" s="13">
        <v>4183</v>
      </c>
      <c r="L7" s="13">
        <v>4464</v>
      </c>
      <c r="M7" s="22">
        <f t="shared" si="2"/>
        <v>6.7176667463543005E-2</v>
      </c>
      <c r="N7" s="13">
        <f t="shared" si="3"/>
        <v>4372</v>
      </c>
      <c r="O7" s="13">
        <f t="shared" si="3"/>
        <v>4448</v>
      </c>
      <c r="P7" s="13">
        <f t="shared" si="3"/>
        <v>4741</v>
      </c>
      <c r="Q7" s="15">
        <f t="shared" si="4"/>
        <v>6.5872302158273444E-2</v>
      </c>
    </row>
    <row r="8" spans="1:17" s="40" customFormat="1" ht="12" customHeight="1" x14ac:dyDescent="0.2">
      <c r="A8" s="25" t="s">
        <v>342</v>
      </c>
      <c r="B8" s="26">
        <v>60</v>
      </c>
      <c r="C8" s="26">
        <v>58</v>
      </c>
      <c r="D8" s="26">
        <v>56</v>
      </c>
      <c r="E8" s="22">
        <f t="shared" si="0"/>
        <v>-3.4482758620689613E-2</v>
      </c>
      <c r="F8" s="26">
        <v>186</v>
      </c>
      <c r="G8" s="26">
        <v>207</v>
      </c>
      <c r="H8" s="26">
        <v>202</v>
      </c>
      <c r="I8" s="15">
        <f t="shared" si="1"/>
        <v>-2.4154589371980673E-2</v>
      </c>
      <c r="J8" s="13">
        <v>4305</v>
      </c>
      <c r="K8" s="13">
        <v>4174</v>
      </c>
      <c r="L8" s="13">
        <v>4338</v>
      </c>
      <c r="M8" s="22">
        <f t="shared" si="2"/>
        <v>3.9290848107331078E-2</v>
      </c>
      <c r="N8" s="13">
        <f t="shared" si="3"/>
        <v>4551</v>
      </c>
      <c r="O8" s="13">
        <f t="shared" si="3"/>
        <v>4439</v>
      </c>
      <c r="P8" s="13">
        <f t="shared" si="3"/>
        <v>4596</v>
      </c>
      <c r="Q8" s="15">
        <f t="shared" si="4"/>
        <v>3.5368326199594513E-2</v>
      </c>
    </row>
    <row r="9" spans="1:17" s="40" customFormat="1" ht="12" customHeight="1" x14ac:dyDescent="0.2">
      <c r="A9" s="25" t="s">
        <v>343</v>
      </c>
      <c r="B9" s="26">
        <v>61</v>
      </c>
      <c r="C9" s="26">
        <v>62</v>
      </c>
      <c r="D9" s="26">
        <v>66</v>
      </c>
      <c r="E9" s="22">
        <f t="shared" si="0"/>
        <v>6.4516129032258007E-2</v>
      </c>
      <c r="F9" s="26">
        <v>233</v>
      </c>
      <c r="G9" s="26">
        <v>236</v>
      </c>
      <c r="H9" s="26">
        <v>265</v>
      </c>
      <c r="I9" s="15">
        <f t="shared" si="1"/>
        <v>0.12288135593220328</v>
      </c>
      <c r="J9" s="13">
        <v>4476</v>
      </c>
      <c r="K9" s="13">
        <v>4652</v>
      </c>
      <c r="L9" s="13">
        <v>4782</v>
      </c>
      <c r="M9" s="22">
        <f t="shared" si="2"/>
        <v>2.7944969905417061E-2</v>
      </c>
      <c r="N9" s="13">
        <f t="shared" si="3"/>
        <v>4770</v>
      </c>
      <c r="O9" s="13">
        <f t="shared" si="3"/>
        <v>4950</v>
      </c>
      <c r="P9" s="13">
        <f t="shared" si="3"/>
        <v>5113</v>
      </c>
      <c r="Q9" s="15">
        <f t="shared" si="4"/>
        <v>3.292929292929303E-2</v>
      </c>
    </row>
    <row r="10" spans="1:17" s="40" customFormat="1" ht="12" customHeight="1" x14ac:dyDescent="0.2">
      <c r="A10" s="25" t="s">
        <v>53</v>
      </c>
      <c r="B10" s="26">
        <v>71</v>
      </c>
      <c r="C10" s="26">
        <v>86</v>
      </c>
      <c r="D10" s="26">
        <v>73</v>
      </c>
      <c r="E10" s="22">
        <f t="shared" si="0"/>
        <v>-0.15116279069767447</v>
      </c>
      <c r="F10" s="26">
        <v>299</v>
      </c>
      <c r="G10" s="26">
        <v>337</v>
      </c>
      <c r="H10" s="26">
        <v>298</v>
      </c>
      <c r="I10" s="15">
        <f t="shared" si="1"/>
        <v>-0.11572700296735905</v>
      </c>
      <c r="J10" s="13">
        <v>4047</v>
      </c>
      <c r="K10" s="13">
        <v>4066</v>
      </c>
      <c r="L10" s="13">
        <v>4088</v>
      </c>
      <c r="M10" s="22">
        <f t="shared" si="2"/>
        <v>5.4107230693556385E-3</v>
      </c>
      <c r="N10" s="13">
        <f t="shared" si="3"/>
        <v>4417</v>
      </c>
      <c r="O10" s="13">
        <f t="shared" si="3"/>
        <v>4489</v>
      </c>
      <c r="P10" s="13">
        <f t="shared" si="3"/>
        <v>4459</v>
      </c>
      <c r="Q10" s="15">
        <f t="shared" si="4"/>
        <v>-6.6830028959679044E-3</v>
      </c>
    </row>
    <row r="11" spans="1:17" s="40" customFormat="1" ht="12" customHeight="1" x14ac:dyDescent="0.2">
      <c r="A11" s="25" t="s">
        <v>54</v>
      </c>
      <c r="B11" s="26">
        <v>73</v>
      </c>
      <c r="C11" s="26">
        <v>89</v>
      </c>
      <c r="D11" s="26">
        <v>95</v>
      </c>
      <c r="E11" s="22">
        <f t="shared" si="0"/>
        <v>6.7415730337078594E-2</v>
      </c>
      <c r="F11" s="26">
        <v>267</v>
      </c>
      <c r="G11" s="26">
        <v>333</v>
      </c>
      <c r="H11" s="26">
        <v>309</v>
      </c>
      <c r="I11" s="15">
        <f t="shared" si="1"/>
        <v>-7.2072072072072113E-2</v>
      </c>
      <c r="J11" s="13">
        <v>3521</v>
      </c>
      <c r="K11" s="13">
        <v>3584</v>
      </c>
      <c r="L11" s="13">
        <v>3704</v>
      </c>
      <c r="M11" s="22">
        <f t="shared" si="2"/>
        <v>3.3482142857142794E-2</v>
      </c>
      <c r="N11" s="13">
        <f t="shared" si="3"/>
        <v>3861</v>
      </c>
      <c r="O11" s="13">
        <f t="shared" si="3"/>
        <v>4006</v>
      </c>
      <c r="P11" s="13">
        <f t="shared" si="3"/>
        <v>4108</v>
      </c>
      <c r="Q11" s="15">
        <f t="shared" si="4"/>
        <v>2.546180728906644E-2</v>
      </c>
    </row>
    <row r="12" spans="1:17" s="40" customFormat="1" ht="12" customHeight="1" thickBot="1" x14ac:dyDescent="0.25">
      <c r="A12" s="27" t="s">
        <v>0</v>
      </c>
      <c r="B12" s="23">
        <f>SUM(B5:B11)</f>
        <v>403</v>
      </c>
      <c r="C12" s="16">
        <f t="shared" ref="C12:D12" si="5">SUM(C5:C11)</f>
        <v>428</v>
      </c>
      <c r="D12" s="16">
        <f t="shared" si="5"/>
        <v>431</v>
      </c>
      <c r="E12" s="24">
        <f>D12/C12-1</f>
        <v>7.0093457943924964E-3</v>
      </c>
      <c r="F12" s="16">
        <f t="shared" ref="F12:H12" si="6">SUM(F5:F11)</f>
        <v>1515</v>
      </c>
      <c r="G12" s="16">
        <f t="shared" si="6"/>
        <v>1784</v>
      </c>
      <c r="H12" s="16">
        <f t="shared" si="6"/>
        <v>1775</v>
      </c>
      <c r="I12" s="17">
        <f>H12/G12-1</f>
        <v>-5.0448430493273966E-3</v>
      </c>
      <c r="J12" s="23">
        <f t="shared" ref="J12:L12" si="7">SUM(J5:J11)</f>
        <v>28876</v>
      </c>
      <c r="K12" s="16">
        <f t="shared" si="7"/>
        <v>29024</v>
      </c>
      <c r="L12" s="16">
        <f t="shared" si="7"/>
        <v>30263</v>
      </c>
      <c r="M12" s="24">
        <f>L12/K12-1</f>
        <v>4.268880926130092E-2</v>
      </c>
      <c r="N12" s="16">
        <f t="shared" ref="N12:P12" si="8">SUM(N5:N11)</f>
        <v>30794</v>
      </c>
      <c r="O12" s="16">
        <f t="shared" si="8"/>
        <v>31236</v>
      </c>
      <c r="P12" s="16">
        <f t="shared" si="8"/>
        <v>32469</v>
      </c>
      <c r="Q12" s="17">
        <f>P12/O12-1</f>
        <v>3.9473684210526327E-2</v>
      </c>
    </row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3" orientation="portrait" r:id="rId1"/>
  <ignoredErrors>
    <ignoredError sqref="B12:H12 N12:Q12" formulaRange="1"/>
    <ignoredError sqref="I12:M12" formula="1" formulaRange="1"/>
    <ignoredError sqref="I13:M13" formula="1"/>
  </ignoredError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EA1C-EF92-49E4-8BD0-D2809863415E}">
  <sheetPr codeName="Planilha52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204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60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225</v>
      </c>
      <c r="B5" s="28">
        <v>27</v>
      </c>
      <c r="C5" s="26">
        <v>33</v>
      </c>
      <c r="D5" s="26">
        <v>29</v>
      </c>
      <c r="E5" s="22">
        <f t="shared" ref="E5:E12" si="0">D5/C5-1</f>
        <v>-0.12121212121212122</v>
      </c>
      <c r="F5" s="26">
        <v>108</v>
      </c>
      <c r="G5" s="26">
        <v>98</v>
      </c>
      <c r="H5" s="26">
        <v>91</v>
      </c>
      <c r="I5" s="15">
        <f t="shared" ref="I5:I12" si="1">H5/G5-1</f>
        <v>-7.1428571428571397E-2</v>
      </c>
      <c r="J5" s="21">
        <v>1060</v>
      </c>
      <c r="K5" s="26">
        <v>985</v>
      </c>
      <c r="L5" s="26">
        <v>1036</v>
      </c>
      <c r="M5" s="22">
        <f t="shared" ref="M5:M12" si="2">L5/K5-1</f>
        <v>5.1776649746192893E-2</v>
      </c>
      <c r="N5" s="68">
        <f t="shared" ref="N5:P12" si="3">B5+F5+J5</f>
        <v>1195</v>
      </c>
      <c r="O5" s="68">
        <f t="shared" si="3"/>
        <v>1116</v>
      </c>
      <c r="P5" s="68">
        <f t="shared" si="3"/>
        <v>1156</v>
      </c>
      <c r="Q5" s="81">
        <f t="shared" ref="Q5:Q12" si="4">P5/O5-1</f>
        <v>3.584229390680993E-2</v>
      </c>
    </row>
    <row r="6" spans="1:17" s="40" customFormat="1" ht="12" customHeight="1" x14ac:dyDescent="0.2">
      <c r="A6" s="25" t="s">
        <v>226</v>
      </c>
      <c r="B6" s="28">
        <v>16</v>
      </c>
      <c r="C6" s="26">
        <v>22</v>
      </c>
      <c r="D6" s="26">
        <v>24</v>
      </c>
      <c r="E6" s="22">
        <f t="shared" si="0"/>
        <v>9.0909090909090828E-2</v>
      </c>
      <c r="F6" s="26">
        <v>64</v>
      </c>
      <c r="G6" s="26">
        <v>76</v>
      </c>
      <c r="H6" s="26">
        <v>47</v>
      </c>
      <c r="I6" s="15">
        <f t="shared" si="1"/>
        <v>-0.38157894736842102</v>
      </c>
      <c r="J6" s="28">
        <v>606</v>
      </c>
      <c r="K6" s="26">
        <v>606</v>
      </c>
      <c r="L6" s="26">
        <v>616</v>
      </c>
      <c r="M6" s="22">
        <f t="shared" si="2"/>
        <v>1.650165016501659E-2</v>
      </c>
      <c r="N6" s="13">
        <f t="shared" si="3"/>
        <v>686</v>
      </c>
      <c r="O6" s="13">
        <f t="shared" si="3"/>
        <v>704</v>
      </c>
      <c r="P6" s="13">
        <f t="shared" si="3"/>
        <v>687</v>
      </c>
      <c r="Q6" s="15">
        <f t="shared" si="4"/>
        <v>-2.4147727272727293E-2</v>
      </c>
    </row>
    <row r="7" spans="1:17" s="40" customFormat="1" ht="12" customHeight="1" x14ac:dyDescent="0.2">
      <c r="A7" s="25" t="s">
        <v>227</v>
      </c>
      <c r="B7" s="28">
        <v>40</v>
      </c>
      <c r="C7" s="26">
        <v>46</v>
      </c>
      <c r="D7" s="26">
        <v>53</v>
      </c>
      <c r="E7" s="22">
        <f t="shared" si="0"/>
        <v>0.15217391304347827</v>
      </c>
      <c r="F7" s="26">
        <v>136</v>
      </c>
      <c r="G7" s="26">
        <v>160</v>
      </c>
      <c r="H7" s="26">
        <v>180</v>
      </c>
      <c r="I7" s="15">
        <f t="shared" si="1"/>
        <v>0.125</v>
      </c>
      <c r="J7" s="21">
        <v>3372</v>
      </c>
      <c r="K7" s="13">
        <v>3319</v>
      </c>
      <c r="L7" s="13">
        <v>3630</v>
      </c>
      <c r="M7" s="22">
        <f t="shared" si="2"/>
        <v>9.3702922567038271E-2</v>
      </c>
      <c r="N7" s="13">
        <f t="shared" si="3"/>
        <v>3548</v>
      </c>
      <c r="O7" s="13">
        <f t="shared" si="3"/>
        <v>3525</v>
      </c>
      <c r="P7" s="13">
        <f t="shared" si="3"/>
        <v>3863</v>
      </c>
      <c r="Q7" s="15">
        <f t="shared" si="4"/>
        <v>9.5886524822694996E-2</v>
      </c>
    </row>
    <row r="8" spans="1:17" s="40" customFormat="1" ht="12" customHeight="1" x14ac:dyDescent="0.2">
      <c r="A8" s="25" t="s">
        <v>228</v>
      </c>
      <c r="B8" s="28">
        <v>47</v>
      </c>
      <c r="C8" s="26">
        <v>54</v>
      </c>
      <c r="D8" s="26">
        <v>45</v>
      </c>
      <c r="E8" s="22">
        <f t="shared" si="0"/>
        <v>-0.16666666666666663</v>
      </c>
      <c r="F8" s="26">
        <v>191</v>
      </c>
      <c r="G8" s="26">
        <v>206</v>
      </c>
      <c r="H8" s="26">
        <v>214</v>
      </c>
      <c r="I8" s="15">
        <f t="shared" si="1"/>
        <v>3.8834951456310662E-2</v>
      </c>
      <c r="J8" s="21">
        <v>4705</v>
      </c>
      <c r="K8" s="13">
        <v>4766</v>
      </c>
      <c r="L8" s="13">
        <v>5051</v>
      </c>
      <c r="M8" s="22">
        <f t="shared" si="2"/>
        <v>5.9798573227024754E-2</v>
      </c>
      <c r="N8" s="13">
        <f t="shared" si="3"/>
        <v>4943</v>
      </c>
      <c r="O8" s="13">
        <f t="shared" si="3"/>
        <v>5026</v>
      </c>
      <c r="P8" s="13">
        <f t="shared" si="3"/>
        <v>5310</v>
      </c>
      <c r="Q8" s="15">
        <f t="shared" si="4"/>
        <v>5.6506167926780648E-2</v>
      </c>
    </row>
    <row r="9" spans="1:17" s="40" customFormat="1" ht="12" customHeight="1" x14ac:dyDescent="0.2">
      <c r="A9" s="25" t="s">
        <v>229</v>
      </c>
      <c r="B9" s="28">
        <v>50</v>
      </c>
      <c r="C9" s="26">
        <v>62</v>
      </c>
      <c r="D9" s="26">
        <v>62</v>
      </c>
      <c r="E9" s="22">
        <f t="shared" si="0"/>
        <v>0</v>
      </c>
      <c r="F9" s="26">
        <v>209</v>
      </c>
      <c r="G9" s="26">
        <v>319</v>
      </c>
      <c r="H9" s="26">
        <v>301</v>
      </c>
      <c r="I9" s="15">
        <f t="shared" si="1"/>
        <v>-5.6426332288401215E-2</v>
      </c>
      <c r="J9" s="21">
        <v>5267</v>
      </c>
      <c r="K9" s="13">
        <v>5360</v>
      </c>
      <c r="L9" s="13">
        <v>5575</v>
      </c>
      <c r="M9" s="22">
        <f t="shared" si="2"/>
        <v>4.0111940298507509E-2</v>
      </c>
      <c r="N9" s="13">
        <f t="shared" si="3"/>
        <v>5526</v>
      </c>
      <c r="O9" s="13">
        <f t="shared" si="3"/>
        <v>5741</v>
      </c>
      <c r="P9" s="13">
        <f t="shared" si="3"/>
        <v>5938</v>
      </c>
      <c r="Q9" s="15">
        <f t="shared" si="4"/>
        <v>3.4314579341578222E-2</v>
      </c>
    </row>
    <row r="10" spans="1:17" s="40" customFormat="1" ht="12" customHeight="1" x14ac:dyDescent="0.2">
      <c r="A10" s="25" t="s">
        <v>230</v>
      </c>
      <c r="B10" s="28">
        <v>82</v>
      </c>
      <c r="C10" s="26">
        <v>74</v>
      </c>
      <c r="D10" s="26">
        <v>83</v>
      </c>
      <c r="E10" s="22">
        <f t="shared" si="0"/>
        <v>0.12162162162162171</v>
      </c>
      <c r="F10" s="26">
        <v>300</v>
      </c>
      <c r="G10" s="26">
        <v>407</v>
      </c>
      <c r="H10" s="26">
        <v>383</v>
      </c>
      <c r="I10" s="15">
        <f t="shared" si="1"/>
        <v>-5.8968058968059012E-2</v>
      </c>
      <c r="J10" s="21">
        <v>5904</v>
      </c>
      <c r="K10" s="13">
        <v>6273</v>
      </c>
      <c r="L10" s="13">
        <v>6402</v>
      </c>
      <c r="M10" s="22">
        <f t="shared" si="2"/>
        <v>2.0564323290291675E-2</v>
      </c>
      <c r="N10" s="13">
        <f t="shared" si="3"/>
        <v>6286</v>
      </c>
      <c r="O10" s="13">
        <f t="shared" si="3"/>
        <v>6754</v>
      </c>
      <c r="P10" s="13">
        <f t="shared" si="3"/>
        <v>6868</v>
      </c>
      <c r="Q10" s="15">
        <f t="shared" si="4"/>
        <v>1.6878886585727004E-2</v>
      </c>
    </row>
    <row r="11" spans="1:17" s="40" customFormat="1" ht="12" customHeight="1" x14ac:dyDescent="0.2">
      <c r="A11" s="25" t="s">
        <v>231</v>
      </c>
      <c r="B11" s="28">
        <v>91</v>
      </c>
      <c r="C11" s="26">
        <v>99</v>
      </c>
      <c r="D11" s="26">
        <v>85</v>
      </c>
      <c r="E11" s="22">
        <f t="shared" si="0"/>
        <v>-0.14141414141414144</v>
      </c>
      <c r="F11" s="26">
        <v>327</v>
      </c>
      <c r="G11" s="26">
        <v>360</v>
      </c>
      <c r="H11" s="26">
        <v>382</v>
      </c>
      <c r="I11" s="15">
        <f t="shared" si="1"/>
        <v>6.1111111111111116E-2</v>
      </c>
      <c r="J11" s="21">
        <v>5523</v>
      </c>
      <c r="K11" s="13">
        <v>5528</v>
      </c>
      <c r="L11" s="13">
        <v>5582</v>
      </c>
      <c r="M11" s="22">
        <f t="shared" si="2"/>
        <v>9.7684515195368693E-3</v>
      </c>
      <c r="N11" s="13">
        <f t="shared" si="3"/>
        <v>5941</v>
      </c>
      <c r="O11" s="13">
        <f t="shared" si="3"/>
        <v>5987</v>
      </c>
      <c r="P11" s="13">
        <f t="shared" si="3"/>
        <v>6049</v>
      </c>
      <c r="Q11" s="15">
        <f t="shared" si="4"/>
        <v>1.0355770836813161E-2</v>
      </c>
    </row>
    <row r="12" spans="1:17" s="40" customFormat="1" ht="12" customHeight="1" x14ac:dyDescent="0.2">
      <c r="A12" s="25" t="s">
        <v>232</v>
      </c>
      <c r="B12" s="28">
        <v>50</v>
      </c>
      <c r="C12" s="26">
        <v>38</v>
      </c>
      <c r="D12" s="26">
        <v>50</v>
      </c>
      <c r="E12" s="22">
        <f t="shared" si="0"/>
        <v>0.31578947368421062</v>
      </c>
      <c r="F12" s="26">
        <v>180</v>
      </c>
      <c r="G12" s="26">
        <v>158</v>
      </c>
      <c r="H12" s="26">
        <v>177</v>
      </c>
      <c r="I12" s="15">
        <f t="shared" si="1"/>
        <v>0.120253164556962</v>
      </c>
      <c r="J12" s="21">
        <v>2439</v>
      </c>
      <c r="K12" s="13">
        <v>2187</v>
      </c>
      <c r="L12" s="13">
        <v>2371</v>
      </c>
      <c r="M12" s="22">
        <f t="shared" si="2"/>
        <v>8.4133516232281602E-2</v>
      </c>
      <c r="N12" s="13">
        <f t="shared" si="3"/>
        <v>2669</v>
      </c>
      <c r="O12" s="13">
        <f t="shared" si="3"/>
        <v>2383</v>
      </c>
      <c r="P12" s="13">
        <f t="shared" si="3"/>
        <v>2598</v>
      </c>
      <c r="Q12" s="15">
        <f t="shared" si="4"/>
        <v>9.0222408728493519E-2</v>
      </c>
    </row>
    <row r="13" spans="1:17" s="40" customFormat="1" ht="12" customHeight="1" thickBot="1" x14ac:dyDescent="0.25">
      <c r="A13" s="27" t="s">
        <v>0</v>
      </c>
      <c r="B13" s="23">
        <f>SUM(B5:B12)</f>
        <v>403</v>
      </c>
      <c r="C13" s="16">
        <f t="shared" ref="C13:D13" si="5">SUM(C5:C12)</f>
        <v>428</v>
      </c>
      <c r="D13" s="16">
        <f t="shared" si="5"/>
        <v>431</v>
      </c>
      <c r="E13" s="24">
        <f>D13/C13-1</f>
        <v>7.0093457943924964E-3</v>
      </c>
      <c r="F13" s="16">
        <f t="shared" ref="F13:H13" si="6">SUM(F5:F12)</f>
        <v>1515</v>
      </c>
      <c r="G13" s="16">
        <f t="shared" si="6"/>
        <v>1784</v>
      </c>
      <c r="H13" s="16">
        <f t="shared" si="6"/>
        <v>1775</v>
      </c>
      <c r="I13" s="17">
        <f>H13/G13-1</f>
        <v>-5.0448430493273966E-3</v>
      </c>
      <c r="J13" s="23">
        <f t="shared" ref="J13:L13" si="7">SUM(J5:J12)</f>
        <v>28876</v>
      </c>
      <c r="K13" s="16">
        <f t="shared" si="7"/>
        <v>29024</v>
      </c>
      <c r="L13" s="16">
        <f t="shared" si="7"/>
        <v>30263</v>
      </c>
      <c r="M13" s="24">
        <f>L13/K13-1</f>
        <v>4.268880926130092E-2</v>
      </c>
      <c r="N13" s="16">
        <f t="shared" ref="N13:P13" si="8">SUM(N5:N12)</f>
        <v>30794</v>
      </c>
      <c r="O13" s="16">
        <f t="shared" si="8"/>
        <v>31236</v>
      </c>
      <c r="P13" s="16">
        <f t="shared" si="8"/>
        <v>32469</v>
      </c>
      <c r="Q13" s="17">
        <f>P13/O13-1</f>
        <v>3.9473684210526327E-2</v>
      </c>
    </row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13:H13 N13:Q13" formulaRange="1"/>
    <ignoredError sqref="I13:M13" formula="1" formulaRange="1"/>
  </ignoredError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F4B4-FB59-41EE-9DEA-E7B260489ED6}">
  <sheetPr codeName="Planilha53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211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157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2">
        <v>2019</v>
      </c>
      <c r="G4" s="142">
        <v>2023</v>
      </c>
      <c r="H4" s="142">
        <v>2024</v>
      </c>
      <c r="I4" s="142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2">
        <v>2019</v>
      </c>
      <c r="O4" s="65">
        <v>2023</v>
      </c>
      <c r="P4" s="65">
        <v>2024</v>
      </c>
      <c r="Q4" s="66" t="s">
        <v>352</v>
      </c>
    </row>
    <row r="5" spans="1:17" s="40" customFormat="1" ht="12" customHeight="1" x14ac:dyDescent="0.2">
      <c r="A5" s="25" t="s">
        <v>63</v>
      </c>
      <c r="B5" s="26">
        <v>343</v>
      </c>
      <c r="C5" s="26">
        <v>386</v>
      </c>
      <c r="D5" s="26">
        <v>387</v>
      </c>
      <c r="E5" s="22">
        <f t="shared" ref="E5:E10" si="0">D5/C5-1</f>
        <v>2.5906735751295429E-3</v>
      </c>
      <c r="F5" s="13">
        <v>1315</v>
      </c>
      <c r="G5" s="13">
        <v>1621</v>
      </c>
      <c r="H5" s="13">
        <v>1556</v>
      </c>
      <c r="I5" s="15">
        <f t="shared" ref="I5:I9" si="1">H5/G5-1</f>
        <v>-4.0098704503392923E-2</v>
      </c>
      <c r="J5" s="13">
        <v>22978</v>
      </c>
      <c r="K5" s="13">
        <v>24457</v>
      </c>
      <c r="L5" s="13">
        <v>25036</v>
      </c>
      <c r="M5" s="22">
        <f t="shared" ref="M5:M12" si="2">L5/K5-1</f>
        <v>2.3674203704460828E-2</v>
      </c>
      <c r="N5" s="13">
        <f t="shared" ref="N5:P12" si="3">B5+F5+J5</f>
        <v>24636</v>
      </c>
      <c r="O5" s="68">
        <f t="shared" si="3"/>
        <v>26464</v>
      </c>
      <c r="P5" s="68">
        <f t="shared" si="3"/>
        <v>26979</v>
      </c>
      <c r="Q5" s="81">
        <f t="shared" ref="Q5:Q12" si="4">P5/O5-1</f>
        <v>1.9460399032648068E-2</v>
      </c>
    </row>
    <row r="6" spans="1:17" s="40" customFormat="1" ht="12" customHeight="1" x14ac:dyDescent="0.2">
      <c r="A6" s="25" t="s">
        <v>64</v>
      </c>
      <c r="B6" s="26">
        <v>58</v>
      </c>
      <c r="C6" s="26">
        <v>35</v>
      </c>
      <c r="D6" s="26">
        <v>38</v>
      </c>
      <c r="E6" s="22">
        <f t="shared" si="0"/>
        <v>8.5714285714285632E-2</v>
      </c>
      <c r="F6" s="13">
        <v>174</v>
      </c>
      <c r="G6" s="13">
        <v>141</v>
      </c>
      <c r="H6" s="13">
        <v>200</v>
      </c>
      <c r="I6" s="15">
        <f t="shared" si="1"/>
        <v>0.41843971631205679</v>
      </c>
      <c r="J6" s="13">
        <v>5605</v>
      </c>
      <c r="K6" s="13">
        <v>4285</v>
      </c>
      <c r="L6" s="13">
        <v>4957</v>
      </c>
      <c r="M6" s="22">
        <f t="shared" si="2"/>
        <v>0.15682613768961495</v>
      </c>
      <c r="N6" s="13">
        <f t="shared" si="3"/>
        <v>5837</v>
      </c>
      <c r="O6" s="13">
        <f t="shared" si="3"/>
        <v>4461</v>
      </c>
      <c r="P6" s="13">
        <f t="shared" si="3"/>
        <v>5195</v>
      </c>
      <c r="Q6" s="15">
        <f t="shared" si="4"/>
        <v>0.16453709930508853</v>
      </c>
    </row>
    <row r="7" spans="1:17" s="40" customFormat="1" ht="12" customHeight="1" x14ac:dyDescent="0.2">
      <c r="A7" s="25" t="s">
        <v>65</v>
      </c>
      <c r="B7" s="26">
        <v>2</v>
      </c>
      <c r="C7" s="26">
        <v>5</v>
      </c>
      <c r="D7" s="26">
        <v>3</v>
      </c>
      <c r="E7" s="22">
        <f t="shared" si="0"/>
        <v>-0.4</v>
      </c>
      <c r="F7" s="13">
        <v>21</v>
      </c>
      <c r="G7" s="13">
        <v>19</v>
      </c>
      <c r="H7" s="13">
        <v>15</v>
      </c>
      <c r="I7" s="15">
        <f t="shared" si="1"/>
        <v>-0.21052631578947367</v>
      </c>
      <c r="J7" s="13">
        <v>196</v>
      </c>
      <c r="K7" s="13">
        <v>189</v>
      </c>
      <c r="L7" s="13">
        <v>173</v>
      </c>
      <c r="M7" s="22">
        <f t="shared" si="2"/>
        <v>-8.4656084656084651E-2</v>
      </c>
      <c r="N7" s="13">
        <f t="shared" si="3"/>
        <v>219</v>
      </c>
      <c r="O7" s="13">
        <f t="shared" si="3"/>
        <v>213</v>
      </c>
      <c r="P7" s="13">
        <f t="shared" si="3"/>
        <v>191</v>
      </c>
      <c r="Q7" s="15">
        <f t="shared" si="4"/>
        <v>-0.10328638497652587</v>
      </c>
    </row>
    <row r="8" spans="1:17" s="40" customFormat="1" ht="12" customHeight="1" x14ac:dyDescent="0.2">
      <c r="A8" s="25" t="s">
        <v>66</v>
      </c>
      <c r="B8" s="26">
        <v>0</v>
      </c>
      <c r="C8" s="26">
        <v>1</v>
      </c>
      <c r="D8" s="26">
        <v>3</v>
      </c>
      <c r="E8" s="22">
        <f t="shared" si="0"/>
        <v>2</v>
      </c>
      <c r="F8" s="13">
        <v>2</v>
      </c>
      <c r="G8" s="13">
        <v>2</v>
      </c>
      <c r="H8" s="13">
        <v>2</v>
      </c>
      <c r="I8" s="15">
        <f t="shared" si="1"/>
        <v>0</v>
      </c>
      <c r="J8" s="13">
        <v>16</v>
      </c>
      <c r="K8" s="13">
        <v>32</v>
      </c>
      <c r="L8" s="13">
        <v>43</v>
      </c>
      <c r="M8" s="22">
        <f t="shared" si="2"/>
        <v>0.34375</v>
      </c>
      <c r="N8" s="13">
        <f t="shared" si="3"/>
        <v>18</v>
      </c>
      <c r="O8" s="13">
        <f t="shared" si="3"/>
        <v>35</v>
      </c>
      <c r="P8" s="13">
        <f t="shared" si="3"/>
        <v>48</v>
      </c>
      <c r="Q8" s="15">
        <f t="shared" si="4"/>
        <v>0.37142857142857144</v>
      </c>
    </row>
    <row r="9" spans="1:17" s="40" customFormat="1" ht="12" customHeight="1" x14ac:dyDescent="0.2">
      <c r="A9" s="25" t="s">
        <v>69</v>
      </c>
      <c r="B9" s="26">
        <v>0</v>
      </c>
      <c r="C9" s="26">
        <v>0</v>
      </c>
      <c r="D9" s="26">
        <v>0</v>
      </c>
      <c r="E9" s="22" t="s">
        <v>62</v>
      </c>
      <c r="F9" s="13">
        <v>1</v>
      </c>
      <c r="G9" s="13">
        <v>1</v>
      </c>
      <c r="H9" s="13">
        <v>1</v>
      </c>
      <c r="I9" s="15">
        <f t="shared" si="1"/>
        <v>0</v>
      </c>
      <c r="J9" s="13">
        <v>28</v>
      </c>
      <c r="K9" s="13">
        <v>12</v>
      </c>
      <c r="L9" s="13">
        <v>20</v>
      </c>
      <c r="M9" s="22">
        <f t="shared" si="2"/>
        <v>0.66666666666666674</v>
      </c>
      <c r="N9" s="13">
        <f t="shared" si="3"/>
        <v>29</v>
      </c>
      <c r="O9" s="13">
        <f t="shared" si="3"/>
        <v>13</v>
      </c>
      <c r="P9" s="13">
        <f t="shared" si="3"/>
        <v>21</v>
      </c>
      <c r="Q9" s="15">
        <f t="shared" si="4"/>
        <v>0.61538461538461542</v>
      </c>
    </row>
    <row r="10" spans="1:17" s="40" customFormat="1" ht="12" customHeight="1" x14ac:dyDescent="0.2">
      <c r="A10" s="25" t="s">
        <v>67</v>
      </c>
      <c r="B10" s="26">
        <v>0</v>
      </c>
      <c r="C10" s="26">
        <v>1</v>
      </c>
      <c r="D10" s="26">
        <v>0</v>
      </c>
      <c r="E10" s="22">
        <f t="shared" si="0"/>
        <v>-1</v>
      </c>
      <c r="F10" s="13">
        <v>0</v>
      </c>
      <c r="G10" s="13">
        <v>0</v>
      </c>
      <c r="H10" s="13">
        <v>0</v>
      </c>
      <c r="I10" s="15" t="s">
        <v>62</v>
      </c>
      <c r="J10" s="13">
        <v>7</v>
      </c>
      <c r="K10" s="13">
        <v>18</v>
      </c>
      <c r="L10" s="13">
        <v>4</v>
      </c>
      <c r="M10" s="22">
        <f t="shared" si="2"/>
        <v>-0.77777777777777779</v>
      </c>
      <c r="N10" s="13">
        <f t="shared" si="3"/>
        <v>7</v>
      </c>
      <c r="O10" s="13">
        <f t="shared" si="3"/>
        <v>19</v>
      </c>
      <c r="P10" s="13">
        <f t="shared" si="3"/>
        <v>4</v>
      </c>
      <c r="Q10" s="15">
        <f t="shared" si="4"/>
        <v>-0.78947368421052633</v>
      </c>
    </row>
    <row r="11" spans="1:17" s="40" customFormat="1" ht="12" customHeight="1" x14ac:dyDescent="0.2">
      <c r="A11" s="25" t="s">
        <v>68</v>
      </c>
      <c r="B11" s="26">
        <v>0</v>
      </c>
      <c r="C11" s="26">
        <v>0</v>
      </c>
      <c r="D11" s="26">
        <v>0</v>
      </c>
      <c r="E11" s="22" t="s">
        <v>62</v>
      </c>
      <c r="F11" s="13">
        <v>2</v>
      </c>
      <c r="G11" s="13">
        <v>0</v>
      </c>
      <c r="H11" s="13">
        <v>0</v>
      </c>
      <c r="I11" s="15" t="s">
        <v>62</v>
      </c>
      <c r="J11" s="13">
        <v>5</v>
      </c>
      <c r="K11" s="13">
        <v>2</v>
      </c>
      <c r="L11" s="13">
        <v>1</v>
      </c>
      <c r="M11" s="22">
        <f t="shared" si="2"/>
        <v>-0.5</v>
      </c>
      <c r="N11" s="13">
        <f t="shared" si="3"/>
        <v>7</v>
      </c>
      <c r="O11" s="13">
        <f t="shared" si="3"/>
        <v>2</v>
      </c>
      <c r="P11" s="13">
        <f t="shared" si="3"/>
        <v>1</v>
      </c>
      <c r="Q11" s="15">
        <f t="shared" si="4"/>
        <v>-0.5</v>
      </c>
    </row>
    <row r="12" spans="1:17" s="40" customFormat="1" ht="12" customHeight="1" x14ac:dyDescent="0.2">
      <c r="A12" s="25" t="s">
        <v>70</v>
      </c>
      <c r="B12" s="26">
        <v>0</v>
      </c>
      <c r="C12" s="26">
        <v>0</v>
      </c>
      <c r="D12" s="26">
        <v>0</v>
      </c>
      <c r="E12" s="22" t="s">
        <v>62</v>
      </c>
      <c r="F12" s="13">
        <v>0</v>
      </c>
      <c r="G12" s="13">
        <v>0</v>
      </c>
      <c r="H12" s="13">
        <v>1</v>
      </c>
      <c r="I12" s="15" t="s">
        <v>62</v>
      </c>
      <c r="J12" s="13">
        <v>41</v>
      </c>
      <c r="K12" s="13">
        <v>29</v>
      </c>
      <c r="L12" s="13">
        <v>29</v>
      </c>
      <c r="M12" s="22">
        <f t="shared" si="2"/>
        <v>0</v>
      </c>
      <c r="N12" s="13">
        <f t="shared" si="3"/>
        <v>41</v>
      </c>
      <c r="O12" s="13">
        <f t="shared" si="3"/>
        <v>29</v>
      </c>
      <c r="P12" s="13">
        <f t="shared" si="3"/>
        <v>30</v>
      </c>
      <c r="Q12" s="15">
        <f t="shared" si="4"/>
        <v>3.4482758620689724E-2</v>
      </c>
    </row>
    <row r="13" spans="1:17" s="40" customFormat="1" ht="12" customHeight="1" thickBot="1" x14ac:dyDescent="0.25">
      <c r="A13" s="27" t="s">
        <v>0</v>
      </c>
      <c r="B13" s="23">
        <f>SUM(B5:B12)</f>
        <v>403</v>
      </c>
      <c r="C13" s="16">
        <f t="shared" ref="C13:D13" si="5">SUM(C5:C12)</f>
        <v>428</v>
      </c>
      <c r="D13" s="16">
        <f t="shared" si="5"/>
        <v>431</v>
      </c>
      <c r="E13" s="24">
        <f>D13/C13-1</f>
        <v>7.0093457943924964E-3</v>
      </c>
      <c r="F13" s="16">
        <f t="shared" ref="F13:H13" si="6">SUM(F5:F12)</f>
        <v>1515</v>
      </c>
      <c r="G13" s="16">
        <f t="shared" si="6"/>
        <v>1784</v>
      </c>
      <c r="H13" s="16">
        <f t="shared" si="6"/>
        <v>1775</v>
      </c>
      <c r="I13" s="17">
        <f>H13/G13-1</f>
        <v>-5.0448430493273966E-3</v>
      </c>
      <c r="J13" s="23">
        <f t="shared" ref="J13:L13" si="7">SUM(J5:J12)</f>
        <v>28876</v>
      </c>
      <c r="K13" s="16">
        <f t="shared" si="7"/>
        <v>29024</v>
      </c>
      <c r="L13" s="16">
        <f t="shared" si="7"/>
        <v>30263</v>
      </c>
      <c r="M13" s="24">
        <f>L13/K13-1</f>
        <v>4.268880926130092E-2</v>
      </c>
      <c r="N13" s="16">
        <f t="shared" ref="N13:P13" si="8">SUM(N5:N12)</f>
        <v>30794</v>
      </c>
      <c r="O13" s="16">
        <f t="shared" si="8"/>
        <v>31236</v>
      </c>
      <c r="P13" s="16">
        <f t="shared" si="8"/>
        <v>32469</v>
      </c>
      <c r="Q13" s="17">
        <f>P13/O13-1</f>
        <v>3.9473684210526327E-2</v>
      </c>
    </row>
    <row r="14" spans="1:17" s="40" customFormat="1" ht="12" customHeight="1" x14ac:dyDescent="0.2">
      <c r="A14" s="40" t="s">
        <v>338</v>
      </c>
    </row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13:H13 N13:Q13" formulaRange="1"/>
    <ignoredError sqref="I13:M13" formula="1" formulaRange="1"/>
  </ignoredError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7FA1-8C78-48B6-898E-109A97D7D6A9}">
  <sheetPr codeName="Planilha54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212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71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72</v>
      </c>
      <c r="B5" s="26">
        <v>229</v>
      </c>
      <c r="C5" s="26">
        <v>263</v>
      </c>
      <c r="D5" s="26">
        <v>266</v>
      </c>
      <c r="E5" s="22">
        <f t="shared" ref="E5:E7" si="0">D5/C5-1</f>
        <v>1.1406844106463865E-2</v>
      </c>
      <c r="F5" s="26">
        <v>916</v>
      </c>
      <c r="G5" s="26">
        <v>1239</v>
      </c>
      <c r="H5" s="13">
        <v>1214</v>
      </c>
      <c r="I5" s="15">
        <f t="shared" ref="I5:I7" si="1">H5/G5-1</f>
        <v>-2.0177562550443895E-2</v>
      </c>
      <c r="J5" s="13">
        <v>20632</v>
      </c>
      <c r="K5" s="13">
        <v>21617</v>
      </c>
      <c r="L5" s="13">
        <v>22527</v>
      </c>
      <c r="M5" s="22">
        <f t="shared" ref="M5:M8" si="2">L5/K5-1</f>
        <v>4.2096498126474424E-2</v>
      </c>
      <c r="N5" s="13">
        <f t="shared" ref="N5:P8" si="3">B5+F5+J5</f>
        <v>21777</v>
      </c>
      <c r="O5" s="68">
        <f t="shared" si="3"/>
        <v>23119</v>
      </c>
      <c r="P5" s="68">
        <f t="shared" si="3"/>
        <v>24007</v>
      </c>
      <c r="Q5" s="81">
        <f t="shared" ref="Q5:Q8" si="4">P5/O5-1</f>
        <v>3.8409965828971826E-2</v>
      </c>
    </row>
    <row r="6" spans="1:17" s="40" customFormat="1" ht="12" customHeight="1" x14ac:dyDescent="0.2">
      <c r="A6" s="25" t="s">
        <v>73</v>
      </c>
      <c r="B6" s="26">
        <v>154</v>
      </c>
      <c r="C6" s="26">
        <v>140</v>
      </c>
      <c r="D6" s="26">
        <v>148</v>
      </c>
      <c r="E6" s="22">
        <f t="shared" si="0"/>
        <v>5.7142857142857162E-2</v>
      </c>
      <c r="F6" s="26">
        <v>536</v>
      </c>
      <c r="G6" s="26">
        <v>473</v>
      </c>
      <c r="H6" s="26">
        <v>487</v>
      </c>
      <c r="I6" s="15">
        <f t="shared" si="1"/>
        <v>2.9598308668076001E-2</v>
      </c>
      <c r="J6" s="13">
        <v>7055</v>
      </c>
      <c r="K6" s="13">
        <v>6332</v>
      </c>
      <c r="L6" s="13">
        <v>6935</v>
      </c>
      <c r="M6" s="22">
        <f t="shared" si="2"/>
        <v>9.5230574857864791E-2</v>
      </c>
      <c r="N6" s="13">
        <f t="shared" si="3"/>
        <v>7745</v>
      </c>
      <c r="O6" s="13">
        <f t="shared" si="3"/>
        <v>6945</v>
      </c>
      <c r="P6" s="13">
        <f t="shared" si="3"/>
        <v>7570</v>
      </c>
      <c r="Q6" s="15">
        <f t="shared" si="4"/>
        <v>8.9992800575953824E-2</v>
      </c>
    </row>
    <row r="7" spans="1:17" s="40" customFormat="1" ht="12" customHeight="1" x14ac:dyDescent="0.2">
      <c r="A7" s="25" t="s">
        <v>205</v>
      </c>
      <c r="B7" s="26">
        <v>20</v>
      </c>
      <c r="C7" s="26">
        <v>25</v>
      </c>
      <c r="D7" s="26">
        <v>17</v>
      </c>
      <c r="E7" s="22">
        <f t="shared" si="0"/>
        <v>-0.31999999999999995</v>
      </c>
      <c r="F7" s="26">
        <v>63</v>
      </c>
      <c r="G7" s="26">
        <v>72</v>
      </c>
      <c r="H7" s="26">
        <v>74</v>
      </c>
      <c r="I7" s="15">
        <f t="shared" si="1"/>
        <v>2.7777777777777679E-2</v>
      </c>
      <c r="J7" s="13">
        <v>1174</v>
      </c>
      <c r="K7" s="26">
        <v>1074</v>
      </c>
      <c r="L7" s="13">
        <v>801</v>
      </c>
      <c r="M7" s="22">
        <f t="shared" si="2"/>
        <v>-0.25418994413407825</v>
      </c>
      <c r="N7" s="13">
        <f t="shared" si="3"/>
        <v>1257</v>
      </c>
      <c r="O7" s="13">
        <f t="shared" si="3"/>
        <v>1171</v>
      </c>
      <c r="P7" s="13">
        <f t="shared" si="3"/>
        <v>892</v>
      </c>
      <c r="Q7" s="15">
        <f t="shared" si="4"/>
        <v>-0.23825789923142615</v>
      </c>
    </row>
    <row r="8" spans="1:17" s="40" customFormat="1" ht="12" customHeight="1" x14ac:dyDescent="0.2">
      <c r="A8" s="25" t="s">
        <v>70</v>
      </c>
      <c r="B8" s="26">
        <v>0</v>
      </c>
      <c r="C8" s="26">
        <v>0</v>
      </c>
      <c r="D8" s="26">
        <v>0</v>
      </c>
      <c r="E8" s="22" t="s">
        <v>62</v>
      </c>
      <c r="F8" s="26">
        <v>0</v>
      </c>
      <c r="G8" s="26">
        <v>0</v>
      </c>
      <c r="H8" s="26">
        <v>0</v>
      </c>
      <c r="I8" s="15" t="s">
        <v>62</v>
      </c>
      <c r="J8" s="26">
        <v>15</v>
      </c>
      <c r="K8" s="26">
        <v>1</v>
      </c>
      <c r="L8" s="26">
        <v>0</v>
      </c>
      <c r="M8" s="22">
        <f t="shared" si="2"/>
        <v>-1</v>
      </c>
      <c r="N8" s="13">
        <f t="shared" si="3"/>
        <v>15</v>
      </c>
      <c r="O8" s="13">
        <f t="shared" si="3"/>
        <v>1</v>
      </c>
      <c r="P8" s="13">
        <f t="shared" si="3"/>
        <v>0</v>
      </c>
      <c r="Q8" s="15">
        <f t="shared" si="4"/>
        <v>-1</v>
      </c>
    </row>
    <row r="9" spans="1:17" s="40" customFormat="1" ht="12" customHeight="1" thickBot="1" x14ac:dyDescent="0.25">
      <c r="A9" s="27" t="s">
        <v>0</v>
      </c>
      <c r="B9" s="23">
        <f>SUM(B5:B8)</f>
        <v>403</v>
      </c>
      <c r="C9" s="16">
        <f t="shared" ref="C9:D9" si="5">SUM(C5:C8)</f>
        <v>428</v>
      </c>
      <c r="D9" s="16">
        <f t="shared" si="5"/>
        <v>431</v>
      </c>
      <c r="E9" s="24">
        <f>D9/C9-1</f>
        <v>7.0093457943924964E-3</v>
      </c>
      <c r="F9" s="16">
        <f t="shared" ref="F9:H9" si="6">SUM(F5:F8)</f>
        <v>1515</v>
      </c>
      <c r="G9" s="16">
        <f t="shared" si="6"/>
        <v>1784</v>
      </c>
      <c r="H9" s="16">
        <f t="shared" si="6"/>
        <v>1775</v>
      </c>
      <c r="I9" s="17">
        <f>H9/G9-1</f>
        <v>-5.0448430493273966E-3</v>
      </c>
      <c r="J9" s="23">
        <f t="shared" ref="J9:L9" si="7">SUM(J5:J8)</f>
        <v>28876</v>
      </c>
      <c r="K9" s="16">
        <f t="shared" si="7"/>
        <v>29024</v>
      </c>
      <c r="L9" s="16">
        <f t="shared" si="7"/>
        <v>30263</v>
      </c>
      <c r="M9" s="24">
        <f>L9/K9-1</f>
        <v>4.268880926130092E-2</v>
      </c>
      <c r="N9" s="16">
        <f t="shared" ref="N9:P9" si="8">SUM(N5:N8)</f>
        <v>30794</v>
      </c>
      <c r="O9" s="16">
        <f t="shared" si="8"/>
        <v>31236</v>
      </c>
      <c r="P9" s="16">
        <f t="shared" si="8"/>
        <v>32469</v>
      </c>
      <c r="Q9" s="17">
        <f>P9/O9-1</f>
        <v>3.9473684210526327E-2</v>
      </c>
    </row>
    <row r="10" spans="1:17" s="40" customFormat="1" ht="12" customHeight="1" x14ac:dyDescent="0.2">
      <c r="A10" s="40" t="s">
        <v>338</v>
      </c>
    </row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9:H9 N9:Q9" formulaRange="1"/>
    <ignoredError sqref="I9:M9" formula="1" formulaRange="1"/>
  </ignoredError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216D-EA1A-4838-A364-F4870C5091FD}">
  <sheetPr codeName="Planilha55"/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295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61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55</v>
      </c>
      <c r="B5" s="26">
        <v>2</v>
      </c>
      <c r="C5" s="26">
        <v>0</v>
      </c>
      <c r="D5" s="26">
        <v>3</v>
      </c>
      <c r="E5" s="22" t="s">
        <v>62</v>
      </c>
      <c r="F5" s="26">
        <v>9</v>
      </c>
      <c r="G5" s="26">
        <v>11</v>
      </c>
      <c r="H5" s="26">
        <v>4</v>
      </c>
      <c r="I5" s="15">
        <f t="shared" ref="I5:I6" si="0">H5/G5-1</f>
        <v>-0.63636363636363635</v>
      </c>
      <c r="J5" s="13">
        <v>267</v>
      </c>
      <c r="K5" s="13">
        <v>268</v>
      </c>
      <c r="L5" s="13">
        <v>291</v>
      </c>
      <c r="M5" s="22">
        <f>L5/K5-1</f>
        <v>8.582089552238803E-2</v>
      </c>
      <c r="N5" s="13">
        <f t="shared" ref="N5:P7" si="1">B5+F5+J5</f>
        <v>278</v>
      </c>
      <c r="O5" s="68">
        <f t="shared" si="1"/>
        <v>279</v>
      </c>
      <c r="P5" s="68">
        <f t="shared" si="1"/>
        <v>298</v>
      </c>
      <c r="Q5" s="81">
        <f>P5/O5-1</f>
        <v>6.8100358422939156E-2</v>
      </c>
    </row>
    <row r="6" spans="1:17" s="40" customFormat="1" ht="12" customHeight="1" x14ac:dyDescent="0.2">
      <c r="A6" s="25" t="s">
        <v>56</v>
      </c>
      <c r="B6" s="26">
        <v>202</v>
      </c>
      <c r="C6" s="26">
        <v>210</v>
      </c>
      <c r="D6" s="26">
        <v>230</v>
      </c>
      <c r="E6" s="22">
        <f t="shared" ref="E6" si="2">D6/C6-1</f>
        <v>9.5238095238095344E-2</v>
      </c>
      <c r="F6" s="26">
        <v>809</v>
      </c>
      <c r="G6" s="26">
        <v>938</v>
      </c>
      <c r="H6" s="26">
        <v>979</v>
      </c>
      <c r="I6" s="15">
        <f t="shared" si="0"/>
        <v>4.3710021321961667E-2</v>
      </c>
      <c r="J6" s="13">
        <v>18293</v>
      </c>
      <c r="K6" s="13">
        <v>18179</v>
      </c>
      <c r="L6" s="13">
        <v>19275</v>
      </c>
      <c r="M6" s="22">
        <f t="shared" ref="M6" si="3">L6/K6-1</f>
        <v>6.0289344848451609E-2</v>
      </c>
      <c r="N6" s="13">
        <f t="shared" si="1"/>
        <v>19304</v>
      </c>
      <c r="O6" s="13">
        <f t="shared" si="1"/>
        <v>19327</v>
      </c>
      <c r="P6" s="13">
        <f t="shared" si="1"/>
        <v>20484</v>
      </c>
      <c r="Q6" s="15">
        <f t="shared" ref="Q6" si="4">P6/O6-1</f>
        <v>5.9864438350494042E-2</v>
      </c>
    </row>
    <row r="7" spans="1:17" s="40" customFormat="1" ht="12" customHeight="1" x14ac:dyDescent="0.2">
      <c r="A7" s="25" t="s">
        <v>57</v>
      </c>
      <c r="B7" s="26">
        <v>199</v>
      </c>
      <c r="C7" s="26">
        <v>218</v>
      </c>
      <c r="D7" s="26">
        <v>198</v>
      </c>
      <c r="E7" s="22">
        <f>D7/C7-1</f>
        <v>-9.1743119266055051E-2</v>
      </c>
      <c r="F7" s="26">
        <v>697</v>
      </c>
      <c r="G7" s="26">
        <v>835</v>
      </c>
      <c r="H7" s="26">
        <v>792</v>
      </c>
      <c r="I7" s="15">
        <f>H7/G7-1</f>
        <v>-5.1497005988023981E-2</v>
      </c>
      <c r="J7" s="13">
        <v>10316</v>
      </c>
      <c r="K7" s="13">
        <v>10577</v>
      </c>
      <c r="L7" s="13">
        <v>10697</v>
      </c>
      <c r="M7" s="22">
        <f>L7/K7-1</f>
        <v>1.1345372033658041E-2</v>
      </c>
      <c r="N7" s="13">
        <f t="shared" si="1"/>
        <v>11212</v>
      </c>
      <c r="O7" s="13">
        <f t="shared" si="1"/>
        <v>11630</v>
      </c>
      <c r="P7" s="13">
        <f t="shared" si="1"/>
        <v>11687</v>
      </c>
      <c r="Q7" s="15">
        <f>P7/O7-1</f>
        <v>4.9011177987963173E-3</v>
      </c>
    </row>
    <row r="8" spans="1:17" s="40" customFormat="1" ht="12" customHeight="1" thickBot="1" x14ac:dyDescent="0.25">
      <c r="A8" s="27" t="s">
        <v>0</v>
      </c>
      <c r="B8" s="23">
        <f>SUM(B5:B7)</f>
        <v>403</v>
      </c>
      <c r="C8" s="16">
        <f t="shared" ref="C8:D8" si="5">SUM(C5:C7)</f>
        <v>428</v>
      </c>
      <c r="D8" s="16">
        <f t="shared" si="5"/>
        <v>431</v>
      </c>
      <c r="E8" s="24">
        <f>D8/C8-1</f>
        <v>7.0093457943924964E-3</v>
      </c>
      <c r="F8" s="16">
        <f t="shared" ref="F8:H8" si="6">SUM(F5:F7)</f>
        <v>1515</v>
      </c>
      <c r="G8" s="16">
        <f t="shared" si="6"/>
        <v>1784</v>
      </c>
      <c r="H8" s="16">
        <f t="shared" si="6"/>
        <v>1775</v>
      </c>
      <c r="I8" s="17">
        <f>H8/G8-1</f>
        <v>-5.0448430493273966E-3</v>
      </c>
      <c r="J8" s="23">
        <f t="shared" ref="J8:L8" si="7">SUM(J5:J7)</f>
        <v>28876</v>
      </c>
      <c r="K8" s="16">
        <f t="shared" si="7"/>
        <v>29024</v>
      </c>
      <c r="L8" s="16">
        <f t="shared" si="7"/>
        <v>30263</v>
      </c>
      <c r="M8" s="24">
        <f>L8/K8-1</f>
        <v>4.268880926130092E-2</v>
      </c>
      <c r="N8" s="16">
        <f t="shared" ref="N8:P8" si="8">SUM(N5:N7)</f>
        <v>30794</v>
      </c>
      <c r="O8" s="16">
        <f t="shared" si="8"/>
        <v>31236</v>
      </c>
      <c r="P8" s="16">
        <f t="shared" si="8"/>
        <v>32469</v>
      </c>
      <c r="Q8" s="17">
        <f>P8/O8-1</f>
        <v>3.9473684210526327E-2</v>
      </c>
    </row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8:H8 N8:Q8" formulaRange="1"/>
    <ignoredError sqref="I8:M8" formula="1" formulaRange="1"/>
  </ignoredError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0B74-5366-4EAE-B6B6-BFD4DC993153}">
  <sheetPr codeName="Planilha56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213</v>
      </c>
      <c r="B1" s="110"/>
      <c r="C1" s="110"/>
      <c r="D1" s="110"/>
      <c r="E1" s="110"/>
      <c r="F1" s="110"/>
    </row>
    <row r="2" spans="1:17" s="40" customFormat="1" ht="25.2" customHeight="1" thickBot="1" x14ac:dyDescent="0.25"/>
    <row r="3" spans="1:17" s="40" customFormat="1" ht="13.95" customHeight="1" x14ac:dyDescent="0.2">
      <c r="A3" s="213" t="s">
        <v>74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206</v>
      </c>
      <c r="B5" s="26">
        <v>202</v>
      </c>
      <c r="C5" s="26">
        <v>223</v>
      </c>
      <c r="D5" s="26">
        <v>227</v>
      </c>
      <c r="E5" s="22">
        <f>D5/C5-1</f>
        <v>1.7937219730941756E-2</v>
      </c>
      <c r="F5" s="26">
        <v>967</v>
      </c>
      <c r="G5" s="26">
        <v>1173</v>
      </c>
      <c r="H5" s="13">
        <v>1171</v>
      </c>
      <c r="I5" s="15">
        <f>H5/G5-1</f>
        <v>-1.7050298380221207E-3</v>
      </c>
      <c r="J5" s="13">
        <v>22053</v>
      </c>
      <c r="K5" s="13">
        <v>22361</v>
      </c>
      <c r="L5" s="13">
        <v>23235</v>
      </c>
      <c r="M5" s="22">
        <f>L5/K5-1</f>
        <v>3.9085908501408806E-2</v>
      </c>
      <c r="N5" s="13">
        <f t="shared" ref="N5:P6" si="0">B5+F5+J5</f>
        <v>23222</v>
      </c>
      <c r="O5" s="68">
        <f t="shared" si="0"/>
        <v>23757</v>
      </c>
      <c r="P5" s="68">
        <f t="shared" si="0"/>
        <v>24633</v>
      </c>
      <c r="Q5" s="81">
        <f>P5/O5-1</f>
        <v>3.6873342593761738E-2</v>
      </c>
    </row>
    <row r="6" spans="1:17" s="40" customFormat="1" ht="12" customHeight="1" x14ac:dyDescent="0.2">
      <c r="A6" s="25" t="s">
        <v>207</v>
      </c>
      <c r="B6" s="26">
        <v>201</v>
      </c>
      <c r="C6" s="26">
        <v>205</v>
      </c>
      <c r="D6" s="26">
        <v>204</v>
      </c>
      <c r="E6" s="22">
        <f t="shared" ref="E6" si="1">D6/C6-1</f>
        <v>-4.8780487804878092E-3</v>
      </c>
      <c r="F6" s="26">
        <v>548</v>
      </c>
      <c r="G6" s="26">
        <v>611</v>
      </c>
      <c r="H6" s="26">
        <v>604</v>
      </c>
      <c r="I6" s="15">
        <f t="shared" ref="I6" si="2">H6/G6-1</f>
        <v>-1.1456628477905073E-2</v>
      </c>
      <c r="J6" s="13">
        <v>6823</v>
      </c>
      <c r="K6" s="13">
        <v>6663</v>
      </c>
      <c r="L6" s="13">
        <v>7028</v>
      </c>
      <c r="M6" s="22">
        <f t="shared" ref="M6" si="3">L6/K6-1</f>
        <v>5.4780129070989059E-2</v>
      </c>
      <c r="N6" s="13">
        <f t="shared" si="0"/>
        <v>7572</v>
      </c>
      <c r="O6" s="13">
        <f t="shared" si="0"/>
        <v>7479</v>
      </c>
      <c r="P6" s="13">
        <f t="shared" si="0"/>
        <v>7836</v>
      </c>
      <c r="Q6" s="15">
        <f t="shared" ref="Q6" si="4">P6/O6-1</f>
        <v>4.7733654231849165E-2</v>
      </c>
    </row>
    <row r="7" spans="1:17" s="40" customFormat="1" ht="12" customHeight="1" thickBot="1" x14ac:dyDescent="0.25">
      <c r="A7" s="27" t="s">
        <v>0</v>
      </c>
      <c r="B7" s="23">
        <f>SUM(B5:B6)</f>
        <v>403</v>
      </c>
      <c r="C7" s="16">
        <f>SUM(C5:C6)</f>
        <v>428</v>
      </c>
      <c r="D7" s="16">
        <f>SUM(D5:D6)</f>
        <v>431</v>
      </c>
      <c r="E7" s="24">
        <f>D7/C7-1</f>
        <v>7.0093457943924964E-3</v>
      </c>
      <c r="F7" s="16">
        <f>SUM(F5:F6)</f>
        <v>1515</v>
      </c>
      <c r="G7" s="16">
        <f>SUM(G5:G6)</f>
        <v>1784</v>
      </c>
      <c r="H7" s="16">
        <f>SUM(H5:H6)</f>
        <v>1775</v>
      </c>
      <c r="I7" s="17">
        <f>H7/G7-1</f>
        <v>-5.0448430493273966E-3</v>
      </c>
      <c r="J7" s="23">
        <f>SUM(J5:J6)</f>
        <v>28876</v>
      </c>
      <c r="K7" s="16">
        <f>SUM(K5:K6)</f>
        <v>29024</v>
      </c>
      <c r="L7" s="16">
        <f>SUM(L5:L6)</f>
        <v>30263</v>
      </c>
      <c r="M7" s="24">
        <f>L7/K7-1</f>
        <v>4.268880926130092E-2</v>
      </c>
      <c r="N7" s="16">
        <f>SUM(N5:N6)</f>
        <v>30794</v>
      </c>
      <c r="O7" s="16">
        <f>SUM(O5:O6)</f>
        <v>31236</v>
      </c>
      <c r="P7" s="16">
        <f>SUM(P5:P6)</f>
        <v>32469</v>
      </c>
      <c r="Q7" s="17">
        <f>P7/O7-1</f>
        <v>3.9473684210526327E-2</v>
      </c>
    </row>
    <row r="8" spans="1:17" s="40" customFormat="1" ht="12" customHeight="1" x14ac:dyDescent="0.2"/>
    <row r="9" spans="1:17" s="40" customFormat="1" ht="12" customHeight="1" x14ac:dyDescent="0.2"/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N3:Q3"/>
    <mergeCell ref="A3:A4"/>
    <mergeCell ref="B3:E3"/>
    <mergeCell ref="F3:I3"/>
    <mergeCell ref="J3:M3"/>
  </mergeCells>
  <pageMargins left="0.7" right="0.7" top="0.75" bottom="0.75" header="0.3" footer="0.3"/>
  <pageSetup paperSize="9" scale="80" orientation="portrait" r:id="rId1"/>
  <ignoredErrors>
    <ignoredError sqref="B7:D7" formulaRange="1"/>
    <ignoredError sqref="E7:M7" formula="1" formulaRange="1"/>
  </ignoredError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886D-8CDE-4259-A765-52F98F1BD685}">
  <sheetPr codeName="Planilha57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214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144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280</v>
      </c>
      <c r="B5" s="26">
        <v>38</v>
      </c>
      <c r="C5" s="26">
        <v>27</v>
      </c>
      <c r="D5" s="26">
        <v>36</v>
      </c>
      <c r="E5" s="22">
        <f t="shared" ref="E5:E12" si="0">D5/C5-1</f>
        <v>0.33333333333333326</v>
      </c>
      <c r="F5" s="26">
        <v>94</v>
      </c>
      <c r="G5" s="26">
        <v>98</v>
      </c>
      <c r="H5" s="26">
        <v>103</v>
      </c>
      <c r="I5" s="15">
        <f t="shared" ref="I5:I12" si="1">H5/G5-1</f>
        <v>5.1020408163265252E-2</v>
      </c>
      <c r="J5" s="13">
        <v>1926</v>
      </c>
      <c r="K5" s="13">
        <v>1787</v>
      </c>
      <c r="L5" s="13">
        <v>1933</v>
      </c>
      <c r="M5" s="22">
        <f t="shared" ref="M5:M12" si="2">L5/K5-1</f>
        <v>8.1701175153889194E-2</v>
      </c>
      <c r="N5" s="13">
        <f t="shared" ref="N5:P12" si="3">B5+F5+J5</f>
        <v>2058</v>
      </c>
      <c r="O5" s="68">
        <f t="shared" si="3"/>
        <v>1912</v>
      </c>
      <c r="P5" s="68">
        <f t="shared" si="3"/>
        <v>2072</v>
      </c>
      <c r="Q5" s="81">
        <f t="shared" ref="Q5:Q12" si="4">P5/O5-1</f>
        <v>8.3682008368200833E-2</v>
      </c>
    </row>
    <row r="6" spans="1:17" s="40" customFormat="1" ht="12" customHeight="1" x14ac:dyDescent="0.2">
      <c r="A6" s="25" t="s">
        <v>281</v>
      </c>
      <c r="B6" s="26">
        <v>143</v>
      </c>
      <c r="C6" s="26">
        <v>132</v>
      </c>
      <c r="D6" s="26">
        <v>122</v>
      </c>
      <c r="E6" s="22">
        <f t="shared" si="0"/>
        <v>-7.5757575757575801E-2</v>
      </c>
      <c r="F6" s="26">
        <v>721</v>
      </c>
      <c r="G6" s="26">
        <v>775</v>
      </c>
      <c r="H6" s="26">
        <v>793</v>
      </c>
      <c r="I6" s="15">
        <f t="shared" si="1"/>
        <v>2.3225806451612874E-2</v>
      </c>
      <c r="J6" s="13">
        <v>17576</v>
      </c>
      <c r="K6" s="13">
        <v>17176</v>
      </c>
      <c r="L6" s="13">
        <v>17849</v>
      </c>
      <c r="M6" s="22">
        <f t="shared" si="2"/>
        <v>3.918258034466704E-2</v>
      </c>
      <c r="N6" s="13">
        <f t="shared" si="3"/>
        <v>18440</v>
      </c>
      <c r="O6" s="13">
        <f t="shared" si="3"/>
        <v>18083</v>
      </c>
      <c r="P6" s="13">
        <f t="shared" si="3"/>
        <v>18764</v>
      </c>
      <c r="Q6" s="15">
        <f t="shared" si="4"/>
        <v>3.7659680362771564E-2</v>
      </c>
    </row>
    <row r="7" spans="1:17" s="40" customFormat="1" ht="12" customHeight="1" x14ac:dyDescent="0.2">
      <c r="A7" s="25" t="s">
        <v>282</v>
      </c>
      <c r="B7" s="26">
        <v>29</v>
      </c>
      <c r="C7" s="26">
        <v>25</v>
      </c>
      <c r="D7" s="26">
        <v>28</v>
      </c>
      <c r="E7" s="22">
        <f t="shared" si="0"/>
        <v>0.12000000000000011</v>
      </c>
      <c r="F7" s="26">
        <v>111</v>
      </c>
      <c r="G7" s="26">
        <v>112</v>
      </c>
      <c r="H7" s="26">
        <v>103</v>
      </c>
      <c r="I7" s="15">
        <f t="shared" si="1"/>
        <v>-8.0357142857142905E-2</v>
      </c>
      <c r="J7" s="13">
        <v>1130</v>
      </c>
      <c r="K7" s="13">
        <v>1072</v>
      </c>
      <c r="L7" s="13">
        <v>1042</v>
      </c>
      <c r="M7" s="22">
        <f t="shared" si="2"/>
        <v>-2.7985074626865725E-2</v>
      </c>
      <c r="N7" s="13">
        <f t="shared" si="3"/>
        <v>1270</v>
      </c>
      <c r="O7" s="13">
        <f t="shared" si="3"/>
        <v>1209</v>
      </c>
      <c r="P7" s="13">
        <f t="shared" si="3"/>
        <v>1173</v>
      </c>
      <c r="Q7" s="15">
        <f t="shared" si="4"/>
        <v>-2.9776674937965208E-2</v>
      </c>
    </row>
    <row r="8" spans="1:17" s="40" customFormat="1" ht="12" customHeight="1" x14ac:dyDescent="0.2">
      <c r="A8" s="25" t="s">
        <v>283</v>
      </c>
      <c r="B8" s="26">
        <v>118</v>
      </c>
      <c r="C8" s="26">
        <v>144</v>
      </c>
      <c r="D8" s="26">
        <v>166</v>
      </c>
      <c r="E8" s="22">
        <f t="shared" si="0"/>
        <v>0.15277777777777768</v>
      </c>
      <c r="F8" s="26">
        <v>385</v>
      </c>
      <c r="G8" s="26">
        <v>538</v>
      </c>
      <c r="H8" s="26">
        <v>518</v>
      </c>
      <c r="I8" s="15">
        <f t="shared" si="1"/>
        <v>-3.7174721189591087E-2</v>
      </c>
      <c r="J8" s="13">
        <v>5612</v>
      </c>
      <c r="K8" s="13">
        <v>6154</v>
      </c>
      <c r="L8" s="13">
        <v>6407</v>
      </c>
      <c r="M8" s="22">
        <f t="shared" si="2"/>
        <v>4.1111472213194666E-2</v>
      </c>
      <c r="N8" s="13">
        <f t="shared" si="3"/>
        <v>6115</v>
      </c>
      <c r="O8" s="13">
        <f t="shared" si="3"/>
        <v>6836</v>
      </c>
      <c r="P8" s="13">
        <f t="shared" si="3"/>
        <v>7091</v>
      </c>
      <c r="Q8" s="15">
        <f t="shared" si="4"/>
        <v>3.7302516091281435E-2</v>
      </c>
    </row>
    <row r="9" spans="1:17" s="40" customFormat="1" ht="12" customHeight="1" x14ac:dyDescent="0.2">
      <c r="A9" s="25" t="s">
        <v>284</v>
      </c>
      <c r="B9" s="26">
        <v>3</v>
      </c>
      <c r="C9" s="26">
        <v>11</v>
      </c>
      <c r="D9" s="26">
        <v>6</v>
      </c>
      <c r="E9" s="22">
        <f t="shared" si="0"/>
        <v>-0.45454545454545459</v>
      </c>
      <c r="F9" s="26">
        <v>22</v>
      </c>
      <c r="G9" s="26">
        <v>56</v>
      </c>
      <c r="H9" s="26">
        <v>53</v>
      </c>
      <c r="I9" s="15">
        <f t="shared" si="1"/>
        <v>-5.3571428571428603E-2</v>
      </c>
      <c r="J9" s="26">
        <v>310</v>
      </c>
      <c r="K9" s="26">
        <v>432</v>
      </c>
      <c r="L9" s="26">
        <v>435</v>
      </c>
      <c r="M9" s="22">
        <f t="shared" si="2"/>
        <v>6.9444444444444198E-3</v>
      </c>
      <c r="N9" s="13">
        <f t="shared" si="3"/>
        <v>335</v>
      </c>
      <c r="O9" s="13">
        <f t="shared" si="3"/>
        <v>499</v>
      </c>
      <c r="P9" s="13">
        <f t="shared" si="3"/>
        <v>494</v>
      </c>
      <c r="Q9" s="15">
        <f t="shared" si="4"/>
        <v>-1.0020040080160331E-2</v>
      </c>
    </row>
    <row r="10" spans="1:17" s="40" customFormat="1" ht="12" customHeight="1" x14ac:dyDescent="0.2">
      <c r="A10" s="25" t="s">
        <v>285</v>
      </c>
      <c r="B10" s="26">
        <v>18</v>
      </c>
      <c r="C10" s="26">
        <v>29</v>
      </c>
      <c r="D10" s="26">
        <v>27</v>
      </c>
      <c r="E10" s="22">
        <f t="shared" si="0"/>
        <v>-6.8965517241379337E-2</v>
      </c>
      <c r="F10" s="26">
        <v>50</v>
      </c>
      <c r="G10" s="26">
        <v>49</v>
      </c>
      <c r="H10" s="26">
        <v>58</v>
      </c>
      <c r="I10" s="15">
        <f t="shared" si="1"/>
        <v>0.18367346938775508</v>
      </c>
      <c r="J10" s="26">
        <v>868</v>
      </c>
      <c r="K10" s="26">
        <v>755</v>
      </c>
      <c r="L10" s="26">
        <v>867</v>
      </c>
      <c r="M10" s="22">
        <f t="shared" si="2"/>
        <v>0.14834437086092711</v>
      </c>
      <c r="N10" s="13">
        <f t="shared" si="3"/>
        <v>936</v>
      </c>
      <c r="O10" s="13">
        <f t="shared" si="3"/>
        <v>833</v>
      </c>
      <c r="P10" s="13">
        <f t="shared" si="3"/>
        <v>952</v>
      </c>
      <c r="Q10" s="15">
        <f t="shared" si="4"/>
        <v>0.14285714285714279</v>
      </c>
    </row>
    <row r="11" spans="1:17" s="40" customFormat="1" ht="12" customHeight="1" x14ac:dyDescent="0.2">
      <c r="A11" s="25" t="s">
        <v>286</v>
      </c>
      <c r="B11" s="26">
        <v>14</v>
      </c>
      <c r="C11" s="26">
        <v>12</v>
      </c>
      <c r="D11" s="26">
        <v>5</v>
      </c>
      <c r="E11" s="22">
        <f t="shared" si="0"/>
        <v>-0.58333333333333326</v>
      </c>
      <c r="F11" s="26">
        <v>14</v>
      </c>
      <c r="G11" s="26">
        <v>18</v>
      </c>
      <c r="H11" s="26">
        <v>15</v>
      </c>
      <c r="I11" s="15">
        <f t="shared" si="1"/>
        <v>-0.16666666666666663</v>
      </c>
      <c r="J11" s="26">
        <v>226</v>
      </c>
      <c r="K11" s="26">
        <v>177</v>
      </c>
      <c r="L11" s="26">
        <v>225</v>
      </c>
      <c r="M11" s="22">
        <f t="shared" si="2"/>
        <v>0.27118644067796605</v>
      </c>
      <c r="N11" s="13">
        <f t="shared" si="3"/>
        <v>254</v>
      </c>
      <c r="O11" s="13">
        <f t="shared" si="3"/>
        <v>207</v>
      </c>
      <c r="P11" s="13">
        <f t="shared" si="3"/>
        <v>245</v>
      </c>
      <c r="Q11" s="15">
        <f t="shared" si="4"/>
        <v>0.18357487922705307</v>
      </c>
    </row>
    <row r="12" spans="1:17" s="40" customFormat="1" ht="12" customHeight="1" x14ac:dyDescent="0.2">
      <c r="A12" s="25" t="s">
        <v>291</v>
      </c>
      <c r="B12" s="26">
        <v>40</v>
      </c>
      <c r="C12" s="26">
        <v>48</v>
      </c>
      <c r="D12" s="26">
        <v>41</v>
      </c>
      <c r="E12" s="22">
        <f t="shared" si="0"/>
        <v>-0.14583333333333337</v>
      </c>
      <c r="F12" s="26">
        <v>118</v>
      </c>
      <c r="G12" s="26">
        <v>138</v>
      </c>
      <c r="H12" s="26">
        <v>132</v>
      </c>
      <c r="I12" s="15">
        <f t="shared" si="1"/>
        <v>-4.3478260869565188E-2</v>
      </c>
      <c r="J12" s="13">
        <v>1228</v>
      </c>
      <c r="K12" s="13">
        <v>1471</v>
      </c>
      <c r="L12" s="13">
        <v>1505</v>
      </c>
      <c r="M12" s="22">
        <f t="shared" si="2"/>
        <v>2.3113528212100665E-2</v>
      </c>
      <c r="N12" s="13">
        <f t="shared" si="3"/>
        <v>1386</v>
      </c>
      <c r="O12" s="13">
        <f t="shared" si="3"/>
        <v>1657</v>
      </c>
      <c r="P12" s="13">
        <f t="shared" si="3"/>
        <v>1678</v>
      </c>
      <c r="Q12" s="15">
        <f t="shared" si="4"/>
        <v>1.2673506336753126E-2</v>
      </c>
    </row>
    <row r="13" spans="1:17" s="40" customFormat="1" ht="12" customHeight="1" thickBot="1" x14ac:dyDescent="0.25">
      <c r="A13" s="27" t="s">
        <v>0</v>
      </c>
      <c r="B13" s="23">
        <f>SUM(B5:B12)</f>
        <v>403</v>
      </c>
      <c r="C13" s="16">
        <f t="shared" ref="C13:D13" si="5">SUM(C5:C12)</f>
        <v>428</v>
      </c>
      <c r="D13" s="16">
        <f t="shared" si="5"/>
        <v>431</v>
      </c>
      <c r="E13" s="24">
        <f>D13/C13-1</f>
        <v>7.0093457943924964E-3</v>
      </c>
      <c r="F13" s="16">
        <f t="shared" ref="F13:H13" si="6">SUM(F5:F12)</f>
        <v>1515</v>
      </c>
      <c r="G13" s="16">
        <f t="shared" si="6"/>
        <v>1784</v>
      </c>
      <c r="H13" s="16">
        <f t="shared" si="6"/>
        <v>1775</v>
      </c>
      <c r="I13" s="17">
        <f>H13/G13-1</f>
        <v>-5.0448430493273966E-3</v>
      </c>
      <c r="J13" s="23">
        <f t="shared" ref="J13:L13" si="7">SUM(J5:J12)</f>
        <v>28876</v>
      </c>
      <c r="K13" s="16">
        <f t="shared" si="7"/>
        <v>29024</v>
      </c>
      <c r="L13" s="16">
        <f t="shared" si="7"/>
        <v>30263</v>
      </c>
      <c r="M13" s="24">
        <f>L13/K13-1</f>
        <v>4.268880926130092E-2</v>
      </c>
      <c r="N13" s="16">
        <f>SUM(N5:N12)</f>
        <v>30794</v>
      </c>
      <c r="O13" s="16">
        <f t="shared" ref="O13:P13" si="8">SUM(O5:O12)</f>
        <v>31236</v>
      </c>
      <c r="P13" s="16">
        <f t="shared" si="8"/>
        <v>32469</v>
      </c>
      <c r="Q13" s="17">
        <f>P13/O13-1</f>
        <v>3.9473684210526327E-2</v>
      </c>
    </row>
    <row r="14" spans="1:17" s="40" customFormat="1" ht="10.5" customHeight="1" x14ac:dyDescent="0.2">
      <c r="A14" s="40" t="s">
        <v>368</v>
      </c>
    </row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13:H13 N13" formulaRange="1"/>
    <ignoredError sqref="I13:M13" formula="1" formulaRange="1"/>
  </ignoredError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F0DC-4C52-4810-84E5-7883829066AC}">
  <sheetPr codeName="Planilha58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351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348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4</v>
      </c>
      <c r="B5" s="26">
        <v>34</v>
      </c>
      <c r="C5" s="26">
        <v>29</v>
      </c>
      <c r="D5" s="26">
        <v>25</v>
      </c>
      <c r="E5" s="22">
        <f>D5/C5-1</f>
        <v>-0.13793103448275867</v>
      </c>
      <c r="F5" s="26">
        <v>80</v>
      </c>
      <c r="G5" s="26">
        <v>135</v>
      </c>
      <c r="H5" s="26">
        <v>137</v>
      </c>
      <c r="I5" s="15">
        <f>H5/G5-1</f>
        <v>1.4814814814814836E-2</v>
      </c>
      <c r="J5" s="13">
        <v>2356</v>
      </c>
      <c r="K5" s="13">
        <v>2420</v>
      </c>
      <c r="L5" s="13">
        <v>2464</v>
      </c>
      <c r="M5" s="22">
        <f>L5/K5-1</f>
        <v>1.8181818181818077E-2</v>
      </c>
      <c r="N5" s="13">
        <f t="shared" ref="N5:N24" si="0">B5+F5+J5</f>
        <v>2470</v>
      </c>
      <c r="O5" s="68">
        <f t="shared" ref="O5:O24" si="1">C5+G5+K5</f>
        <v>2584</v>
      </c>
      <c r="P5" s="68">
        <f t="shared" ref="P5:P24" si="2">D5+H5+L5</f>
        <v>2626</v>
      </c>
      <c r="Q5" s="81">
        <f>P5/O5-1</f>
        <v>1.6253869969040213E-2</v>
      </c>
    </row>
    <row r="6" spans="1:17" s="40" customFormat="1" ht="12" customHeight="1" x14ac:dyDescent="0.2">
      <c r="A6" s="25" t="s">
        <v>5</v>
      </c>
      <c r="B6" s="26">
        <v>22</v>
      </c>
      <c r="C6" s="26">
        <v>18</v>
      </c>
      <c r="D6" s="26">
        <v>16</v>
      </c>
      <c r="E6" s="22">
        <f t="shared" ref="E6:E24" si="3">D6/C6-1</f>
        <v>-0.11111111111111116</v>
      </c>
      <c r="F6" s="26">
        <v>39</v>
      </c>
      <c r="G6" s="26">
        <v>65</v>
      </c>
      <c r="H6" s="26">
        <v>71</v>
      </c>
      <c r="I6" s="15">
        <f t="shared" ref="I6:I24" si="4">H6/G6-1</f>
        <v>9.2307692307692202E-2</v>
      </c>
      <c r="J6" s="26">
        <v>345</v>
      </c>
      <c r="K6" s="26">
        <v>353</v>
      </c>
      <c r="L6" s="26">
        <v>377</v>
      </c>
      <c r="M6" s="22">
        <f t="shared" ref="M6:M24" si="5">L6/K6-1</f>
        <v>6.7988668555240883E-2</v>
      </c>
      <c r="N6" s="13">
        <f t="shared" si="0"/>
        <v>406</v>
      </c>
      <c r="O6" s="13">
        <f t="shared" si="1"/>
        <v>436</v>
      </c>
      <c r="P6" s="13">
        <f t="shared" si="2"/>
        <v>464</v>
      </c>
      <c r="Q6" s="15">
        <f t="shared" ref="Q6:Q24" si="6">P6/O6-1</f>
        <v>6.4220183486238591E-2</v>
      </c>
    </row>
    <row r="7" spans="1:17" s="40" customFormat="1" ht="12" customHeight="1" x14ac:dyDescent="0.2">
      <c r="A7" s="25" t="s">
        <v>6</v>
      </c>
      <c r="B7" s="26">
        <v>29</v>
      </c>
      <c r="C7" s="26">
        <v>30</v>
      </c>
      <c r="D7" s="26">
        <v>32</v>
      </c>
      <c r="E7" s="22">
        <f t="shared" si="3"/>
        <v>6.6666666666666652E-2</v>
      </c>
      <c r="F7" s="26">
        <v>95</v>
      </c>
      <c r="G7" s="26">
        <v>129</v>
      </c>
      <c r="H7" s="26">
        <v>132</v>
      </c>
      <c r="I7" s="15">
        <f t="shared" si="4"/>
        <v>2.3255813953488413E-2</v>
      </c>
      <c r="J7" s="13">
        <v>2591</v>
      </c>
      <c r="K7" s="13">
        <v>2755</v>
      </c>
      <c r="L7" s="13">
        <v>2776</v>
      </c>
      <c r="M7" s="22">
        <f t="shared" si="5"/>
        <v>7.6225045372051436E-3</v>
      </c>
      <c r="N7" s="13">
        <f t="shared" si="0"/>
        <v>2715</v>
      </c>
      <c r="O7" s="13">
        <f t="shared" si="1"/>
        <v>2914</v>
      </c>
      <c r="P7" s="13">
        <f t="shared" si="2"/>
        <v>2940</v>
      </c>
      <c r="Q7" s="15">
        <f t="shared" si="6"/>
        <v>8.9224433768015921E-3</v>
      </c>
    </row>
    <row r="8" spans="1:17" s="40" customFormat="1" ht="12" customHeight="1" x14ac:dyDescent="0.2">
      <c r="A8" s="25" t="s">
        <v>7</v>
      </c>
      <c r="B8" s="26">
        <v>7</v>
      </c>
      <c r="C8" s="26">
        <v>4</v>
      </c>
      <c r="D8" s="26">
        <v>6</v>
      </c>
      <c r="E8" s="22">
        <f t="shared" si="3"/>
        <v>0.5</v>
      </c>
      <c r="F8" s="26">
        <v>24</v>
      </c>
      <c r="G8" s="26">
        <v>33</v>
      </c>
      <c r="H8" s="26">
        <v>26</v>
      </c>
      <c r="I8" s="15">
        <f t="shared" si="4"/>
        <v>-0.21212121212121215</v>
      </c>
      <c r="J8" s="26">
        <v>308</v>
      </c>
      <c r="K8" s="26">
        <v>302</v>
      </c>
      <c r="L8" s="26">
        <v>310</v>
      </c>
      <c r="M8" s="22">
        <f t="shared" si="5"/>
        <v>2.6490066225165476E-2</v>
      </c>
      <c r="N8" s="13">
        <f t="shared" si="0"/>
        <v>339</v>
      </c>
      <c r="O8" s="13">
        <f t="shared" si="1"/>
        <v>339</v>
      </c>
      <c r="P8" s="13">
        <f t="shared" si="2"/>
        <v>342</v>
      </c>
      <c r="Q8" s="15">
        <f t="shared" si="6"/>
        <v>8.8495575221239076E-3</v>
      </c>
    </row>
    <row r="9" spans="1:17" s="40" customFormat="1" ht="12" customHeight="1" x14ac:dyDescent="0.2">
      <c r="A9" s="25" t="s">
        <v>75</v>
      </c>
      <c r="B9" s="26">
        <v>7</v>
      </c>
      <c r="C9" s="26">
        <v>18</v>
      </c>
      <c r="D9" s="26">
        <v>11</v>
      </c>
      <c r="E9" s="22">
        <f t="shared" si="3"/>
        <v>-0.38888888888888884</v>
      </c>
      <c r="F9" s="26">
        <v>44</v>
      </c>
      <c r="G9" s="26">
        <v>50</v>
      </c>
      <c r="H9" s="26">
        <v>45</v>
      </c>
      <c r="I9" s="15">
        <f t="shared" si="4"/>
        <v>-9.9999999999999978E-2</v>
      </c>
      <c r="J9" s="26">
        <v>391</v>
      </c>
      <c r="K9" s="26">
        <v>423</v>
      </c>
      <c r="L9" s="26">
        <v>420</v>
      </c>
      <c r="M9" s="22">
        <f t="shared" si="5"/>
        <v>-7.0921985815602939E-3</v>
      </c>
      <c r="N9" s="13">
        <f t="shared" si="0"/>
        <v>442</v>
      </c>
      <c r="O9" s="13">
        <f t="shared" si="1"/>
        <v>491</v>
      </c>
      <c r="P9" s="13">
        <f t="shared" si="2"/>
        <v>476</v>
      </c>
      <c r="Q9" s="15">
        <f t="shared" si="6"/>
        <v>-3.0549898167006151E-2</v>
      </c>
    </row>
    <row r="10" spans="1:17" s="40" customFormat="1" ht="12" customHeight="1" x14ac:dyDescent="0.2">
      <c r="A10" s="25" t="s">
        <v>8</v>
      </c>
      <c r="B10" s="26">
        <v>25</v>
      </c>
      <c r="C10" s="26">
        <v>27</v>
      </c>
      <c r="D10" s="26">
        <v>25</v>
      </c>
      <c r="E10" s="22">
        <f t="shared" si="3"/>
        <v>-7.407407407407407E-2</v>
      </c>
      <c r="F10" s="26">
        <v>53</v>
      </c>
      <c r="G10" s="26">
        <v>61</v>
      </c>
      <c r="H10" s="26">
        <v>74</v>
      </c>
      <c r="I10" s="15">
        <f t="shared" si="4"/>
        <v>0.21311475409836067</v>
      </c>
      <c r="J10" s="13">
        <v>1353</v>
      </c>
      <c r="K10" s="13">
        <v>1336</v>
      </c>
      <c r="L10" s="13">
        <v>1326</v>
      </c>
      <c r="M10" s="22">
        <f t="shared" si="5"/>
        <v>-7.4850299401197917E-3</v>
      </c>
      <c r="N10" s="13">
        <f t="shared" si="0"/>
        <v>1431</v>
      </c>
      <c r="O10" s="13">
        <f t="shared" si="1"/>
        <v>1424</v>
      </c>
      <c r="P10" s="13">
        <f t="shared" si="2"/>
        <v>1425</v>
      </c>
      <c r="Q10" s="15">
        <f t="shared" si="6"/>
        <v>7.0224719101119604E-4</v>
      </c>
    </row>
    <row r="11" spans="1:17" s="40" customFormat="1" ht="12" customHeight="1" x14ac:dyDescent="0.2">
      <c r="A11" s="25" t="s">
        <v>9</v>
      </c>
      <c r="B11" s="26">
        <v>9</v>
      </c>
      <c r="C11" s="26">
        <v>7</v>
      </c>
      <c r="D11" s="26">
        <v>9</v>
      </c>
      <c r="E11" s="22">
        <f t="shared" si="3"/>
        <v>0.28571428571428581</v>
      </c>
      <c r="F11" s="26">
        <v>45</v>
      </c>
      <c r="G11" s="26">
        <v>54</v>
      </c>
      <c r="H11" s="26">
        <v>45</v>
      </c>
      <c r="I11" s="15">
        <f t="shared" si="4"/>
        <v>-0.16666666666666663</v>
      </c>
      <c r="J11" s="26">
        <v>341</v>
      </c>
      <c r="K11" s="26">
        <v>370</v>
      </c>
      <c r="L11" s="26">
        <v>413</v>
      </c>
      <c r="M11" s="22">
        <f t="shared" si="5"/>
        <v>0.11621621621621614</v>
      </c>
      <c r="N11" s="13">
        <f t="shared" si="0"/>
        <v>395</v>
      </c>
      <c r="O11" s="13">
        <f t="shared" si="1"/>
        <v>431</v>
      </c>
      <c r="P11" s="13">
        <f t="shared" si="2"/>
        <v>467</v>
      </c>
      <c r="Q11" s="15">
        <f t="shared" si="6"/>
        <v>8.3526682134570818E-2</v>
      </c>
    </row>
    <row r="12" spans="1:17" s="40" customFormat="1" ht="12" customHeight="1" x14ac:dyDescent="0.2">
      <c r="A12" s="25" t="s">
        <v>3</v>
      </c>
      <c r="B12" s="26">
        <v>29</v>
      </c>
      <c r="C12" s="26">
        <v>33</v>
      </c>
      <c r="D12" s="26">
        <v>36</v>
      </c>
      <c r="E12" s="22">
        <f t="shared" si="3"/>
        <v>9.0909090909090828E-2</v>
      </c>
      <c r="F12" s="26">
        <v>152</v>
      </c>
      <c r="G12" s="26">
        <v>151</v>
      </c>
      <c r="H12" s="26">
        <v>140</v>
      </c>
      <c r="I12" s="15">
        <f t="shared" si="4"/>
        <v>-7.2847682119205337E-2</v>
      </c>
      <c r="J12" s="13">
        <v>1664</v>
      </c>
      <c r="K12" s="13">
        <v>1709</v>
      </c>
      <c r="L12" s="13">
        <v>1884</v>
      </c>
      <c r="M12" s="22">
        <f t="shared" si="5"/>
        <v>0.10239906377998831</v>
      </c>
      <c r="N12" s="13">
        <f t="shared" si="0"/>
        <v>1845</v>
      </c>
      <c r="O12" s="13">
        <f t="shared" si="1"/>
        <v>1893</v>
      </c>
      <c r="P12" s="13">
        <f t="shared" si="2"/>
        <v>2060</v>
      </c>
      <c r="Q12" s="15">
        <f t="shared" si="6"/>
        <v>8.8219756999471821E-2</v>
      </c>
    </row>
    <row r="13" spans="1:17" s="40" customFormat="1" ht="12" customHeight="1" x14ac:dyDescent="0.2">
      <c r="A13" s="25" t="s">
        <v>10</v>
      </c>
      <c r="B13" s="26">
        <v>15</v>
      </c>
      <c r="C13" s="26">
        <v>7</v>
      </c>
      <c r="D13" s="26">
        <v>16</v>
      </c>
      <c r="E13" s="22">
        <f t="shared" si="3"/>
        <v>1.2857142857142856</v>
      </c>
      <c r="F13" s="26">
        <v>34</v>
      </c>
      <c r="G13" s="26">
        <v>29</v>
      </c>
      <c r="H13" s="26">
        <v>32</v>
      </c>
      <c r="I13" s="15">
        <f t="shared" si="4"/>
        <v>0.10344827586206895</v>
      </c>
      <c r="J13" s="26">
        <v>323</v>
      </c>
      <c r="K13" s="26">
        <v>378</v>
      </c>
      <c r="L13" s="26">
        <v>380</v>
      </c>
      <c r="M13" s="22">
        <f t="shared" si="5"/>
        <v>5.2910052910053462E-3</v>
      </c>
      <c r="N13" s="13">
        <f t="shared" si="0"/>
        <v>372</v>
      </c>
      <c r="O13" s="13">
        <f t="shared" si="1"/>
        <v>414</v>
      </c>
      <c r="P13" s="13">
        <f t="shared" si="2"/>
        <v>428</v>
      </c>
      <c r="Q13" s="15">
        <f t="shared" si="6"/>
        <v>3.3816425120772875E-2</v>
      </c>
    </row>
    <row r="14" spans="1:17" s="40" customFormat="1" ht="12" customHeight="1" x14ac:dyDescent="0.2">
      <c r="A14" s="25" t="s">
        <v>11</v>
      </c>
      <c r="B14" s="26">
        <v>26</v>
      </c>
      <c r="C14" s="26">
        <v>30</v>
      </c>
      <c r="D14" s="26">
        <v>31</v>
      </c>
      <c r="E14" s="22">
        <f t="shared" si="3"/>
        <v>3.3333333333333437E-2</v>
      </c>
      <c r="F14" s="26">
        <v>83</v>
      </c>
      <c r="G14" s="26">
        <v>107</v>
      </c>
      <c r="H14" s="26">
        <v>130</v>
      </c>
      <c r="I14" s="15">
        <f t="shared" si="4"/>
        <v>0.2149532710280373</v>
      </c>
      <c r="J14" s="13">
        <v>1476</v>
      </c>
      <c r="K14" s="13">
        <v>1491</v>
      </c>
      <c r="L14" s="13">
        <v>1526</v>
      </c>
      <c r="M14" s="22">
        <f t="shared" si="5"/>
        <v>2.3474178403755763E-2</v>
      </c>
      <c r="N14" s="13">
        <f t="shared" si="0"/>
        <v>1585</v>
      </c>
      <c r="O14" s="13">
        <f t="shared" si="1"/>
        <v>1628</v>
      </c>
      <c r="P14" s="13">
        <f t="shared" si="2"/>
        <v>1687</v>
      </c>
      <c r="Q14" s="15">
        <f t="shared" si="6"/>
        <v>3.6240786240786305E-2</v>
      </c>
    </row>
    <row r="15" spans="1:17" s="40" customFormat="1" ht="12" customHeight="1" x14ac:dyDescent="0.2">
      <c r="A15" s="25" t="s">
        <v>1</v>
      </c>
      <c r="B15" s="26">
        <v>40</v>
      </c>
      <c r="C15" s="26">
        <v>37</v>
      </c>
      <c r="D15" s="26">
        <v>54</v>
      </c>
      <c r="E15" s="22">
        <f t="shared" si="3"/>
        <v>0.45945945945945943</v>
      </c>
      <c r="F15" s="26">
        <v>200</v>
      </c>
      <c r="G15" s="26">
        <v>195</v>
      </c>
      <c r="H15" s="26">
        <v>185</v>
      </c>
      <c r="I15" s="15">
        <f t="shared" si="4"/>
        <v>-5.1282051282051322E-2</v>
      </c>
      <c r="J15" s="13">
        <v>6115</v>
      </c>
      <c r="K15" s="13">
        <v>5487</v>
      </c>
      <c r="L15" s="13">
        <v>5900</v>
      </c>
      <c r="M15" s="22">
        <f t="shared" si="5"/>
        <v>7.5268817204301008E-2</v>
      </c>
      <c r="N15" s="13">
        <f t="shared" si="0"/>
        <v>6355</v>
      </c>
      <c r="O15" s="13">
        <f t="shared" si="1"/>
        <v>5719</v>
      </c>
      <c r="P15" s="13">
        <f t="shared" si="2"/>
        <v>6139</v>
      </c>
      <c r="Q15" s="15">
        <f t="shared" si="6"/>
        <v>7.3439412484700206E-2</v>
      </c>
    </row>
    <row r="16" spans="1:17" s="40" customFormat="1" ht="12" customHeight="1" x14ac:dyDescent="0.2">
      <c r="A16" s="25" t="s">
        <v>12</v>
      </c>
      <c r="B16" s="26">
        <v>15</v>
      </c>
      <c r="C16" s="26">
        <v>13</v>
      </c>
      <c r="D16" s="26">
        <v>11</v>
      </c>
      <c r="E16" s="22">
        <f t="shared" si="3"/>
        <v>-0.15384615384615385</v>
      </c>
      <c r="F16" s="26">
        <v>34</v>
      </c>
      <c r="G16" s="26">
        <v>33</v>
      </c>
      <c r="H16" s="26">
        <v>43</v>
      </c>
      <c r="I16" s="15">
        <f t="shared" si="4"/>
        <v>0.30303030303030298</v>
      </c>
      <c r="J16" s="26">
        <v>234</v>
      </c>
      <c r="K16" s="26">
        <v>256</v>
      </c>
      <c r="L16" s="26">
        <v>247</v>
      </c>
      <c r="M16" s="22">
        <f t="shared" si="5"/>
        <v>-3.515625E-2</v>
      </c>
      <c r="N16" s="13">
        <f t="shared" si="0"/>
        <v>283</v>
      </c>
      <c r="O16" s="13">
        <f t="shared" si="1"/>
        <v>302</v>
      </c>
      <c r="P16" s="13">
        <f t="shared" si="2"/>
        <v>301</v>
      </c>
      <c r="Q16" s="15">
        <f t="shared" si="6"/>
        <v>-3.3112582781457123E-3</v>
      </c>
    </row>
    <row r="17" spans="1:17" s="40" customFormat="1" ht="12" customHeight="1" x14ac:dyDescent="0.2">
      <c r="A17" s="25" t="s">
        <v>2</v>
      </c>
      <c r="B17" s="26">
        <v>35</v>
      </c>
      <c r="C17" s="26">
        <v>35</v>
      </c>
      <c r="D17" s="26">
        <v>48</v>
      </c>
      <c r="E17" s="22">
        <f t="shared" si="3"/>
        <v>0.37142857142857144</v>
      </c>
      <c r="F17" s="26">
        <v>135</v>
      </c>
      <c r="G17" s="26">
        <v>136</v>
      </c>
      <c r="H17" s="26">
        <v>150</v>
      </c>
      <c r="I17" s="15">
        <f t="shared" si="4"/>
        <v>0.10294117647058831</v>
      </c>
      <c r="J17" s="13">
        <v>4791</v>
      </c>
      <c r="K17" s="13">
        <v>4789</v>
      </c>
      <c r="L17" s="13">
        <v>5046</v>
      </c>
      <c r="M17" s="22">
        <f t="shared" si="5"/>
        <v>5.3664648152015104E-2</v>
      </c>
      <c r="N17" s="13">
        <f t="shared" si="0"/>
        <v>4961</v>
      </c>
      <c r="O17" s="13">
        <f t="shared" si="1"/>
        <v>4960</v>
      </c>
      <c r="P17" s="13">
        <f t="shared" si="2"/>
        <v>5244</v>
      </c>
      <c r="Q17" s="15">
        <f t="shared" si="6"/>
        <v>5.7258064516129137E-2</v>
      </c>
    </row>
    <row r="18" spans="1:17" s="40" customFormat="1" ht="12" customHeight="1" x14ac:dyDescent="0.2">
      <c r="A18" s="25" t="s">
        <v>13</v>
      </c>
      <c r="B18" s="26">
        <v>27</v>
      </c>
      <c r="C18" s="26">
        <v>30</v>
      </c>
      <c r="D18" s="26">
        <v>31</v>
      </c>
      <c r="E18" s="22">
        <f t="shared" si="3"/>
        <v>3.3333333333333437E-2</v>
      </c>
      <c r="F18" s="26">
        <v>146</v>
      </c>
      <c r="G18" s="26">
        <v>157</v>
      </c>
      <c r="H18" s="26">
        <v>144</v>
      </c>
      <c r="I18" s="15">
        <f t="shared" si="4"/>
        <v>-8.2802547770700619E-2</v>
      </c>
      <c r="J18" s="13">
        <v>1293</v>
      </c>
      <c r="K18" s="13">
        <v>1255</v>
      </c>
      <c r="L18" s="13">
        <v>1343</v>
      </c>
      <c r="M18" s="22">
        <f t="shared" si="5"/>
        <v>7.0119521912350491E-2</v>
      </c>
      <c r="N18" s="13">
        <f t="shared" si="0"/>
        <v>1466</v>
      </c>
      <c r="O18" s="13">
        <f t="shared" si="1"/>
        <v>1442</v>
      </c>
      <c r="P18" s="13">
        <f t="shared" si="2"/>
        <v>1518</v>
      </c>
      <c r="Q18" s="15">
        <f t="shared" si="6"/>
        <v>5.2704576976421613E-2</v>
      </c>
    </row>
    <row r="19" spans="1:17" s="40" customFormat="1" ht="12" customHeight="1" x14ac:dyDescent="0.2">
      <c r="A19" s="25" t="s">
        <v>14</v>
      </c>
      <c r="B19" s="26">
        <v>22</v>
      </c>
      <c r="C19" s="26">
        <v>43</v>
      </c>
      <c r="D19" s="26">
        <v>22</v>
      </c>
      <c r="E19" s="22">
        <f t="shared" si="3"/>
        <v>-0.48837209302325579</v>
      </c>
      <c r="F19" s="26">
        <v>109</v>
      </c>
      <c r="G19" s="26">
        <v>134</v>
      </c>
      <c r="H19" s="26">
        <v>129</v>
      </c>
      <c r="I19" s="15">
        <f t="shared" si="4"/>
        <v>-3.7313432835820892E-2</v>
      </c>
      <c r="J19" s="13">
        <v>1908</v>
      </c>
      <c r="K19" s="13">
        <v>2127</v>
      </c>
      <c r="L19" s="13">
        <v>2099</v>
      </c>
      <c r="M19" s="22">
        <f t="shared" si="5"/>
        <v>-1.3164080865068151E-2</v>
      </c>
      <c r="N19" s="13">
        <f t="shared" si="0"/>
        <v>2039</v>
      </c>
      <c r="O19" s="13">
        <f t="shared" si="1"/>
        <v>2304</v>
      </c>
      <c r="P19" s="13">
        <f t="shared" si="2"/>
        <v>2250</v>
      </c>
      <c r="Q19" s="15">
        <f t="shared" si="6"/>
        <v>-2.34375E-2</v>
      </c>
    </row>
    <row r="20" spans="1:17" s="40" customFormat="1" ht="12" customHeight="1" x14ac:dyDescent="0.2">
      <c r="A20" s="25" t="s">
        <v>76</v>
      </c>
      <c r="B20" s="26">
        <v>8</v>
      </c>
      <c r="C20" s="26">
        <v>15</v>
      </c>
      <c r="D20" s="26">
        <v>10</v>
      </c>
      <c r="E20" s="22">
        <f t="shared" si="3"/>
        <v>-0.33333333333333337</v>
      </c>
      <c r="F20" s="26">
        <v>34</v>
      </c>
      <c r="G20" s="26">
        <v>55</v>
      </c>
      <c r="H20" s="26">
        <v>53</v>
      </c>
      <c r="I20" s="15">
        <f t="shared" si="4"/>
        <v>-3.6363636363636376E-2</v>
      </c>
      <c r="J20" s="26">
        <v>694</v>
      </c>
      <c r="K20" s="26">
        <v>666</v>
      </c>
      <c r="L20" s="26">
        <v>788</v>
      </c>
      <c r="M20" s="22">
        <f t="shared" si="5"/>
        <v>0.18318318318318316</v>
      </c>
      <c r="N20" s="13">
        <f t="shared" si="0"/>
        <v>736</v>
      </c>
      <c r="O20" s="13">
        <f t="shared" si="1"/>
        <v>736</v>
      </c>
      <c r="P20" s="13">
        <f t="shared" si="2"/>
        <v>851</v>
      </c>
      <c r="Q20" s="15">
        <f t="shared" si="6"/>
        <v>0.15625</v>
      </c>
    </row>
    <row r="21" spans="1:17" s="40" customFormat="1" ht="12" customHeight="1" x14ac:dyDescent="0.2">
      <c r="A21" s="25" t="s">
        <v>15</v>
      </c>
      <c r="B21" s="26">
        <v>8</v>
      </c>
      <c r="C21" s="26">
        <v>17</v>
      </c>
      <c r="D21" s="26">
        <v>9</v>
      </c>
      <c r="E21" s="22">
        <f t="shared" si="3"/>
        <v>-0.47058823529411764</v>
      </c>
      <c r="F21" s="26">
        <v>28</v>
      </c>
      <c r="G21" s="26">
        <v>46</v>
      </c>
      <c r="H21" s="26">
        <v>40</v>
      </c>
      <c r="I21" s="15">
        <f t="shared" si="4"/>
        <v>-0.13043478260869568</v>
      </c>
      <c r="J21" s="26">
        <v>520</v>
      </c>
      <c r="K21" s="26">
        <v>528</v>
      </c>
      <c r="L21" s="26">
        <v>523</v>
      </c>
      <c r="M21" s="22">
        <f t="shared" si="5"/>
        <v>-9.4696969696970168E-3</v>
      </c>
      <c r="N21" s="13">
        <f t="shared" si="0"/>
        <v>556</v>
      </c>
      <c r="O21" s="13">
        <f t="shared" si="1"/>
        <v>591</v>
      </c>
      <c r="P21" s="13">
        <f t="shared" si="2"/>
        <v>572</v>
      </c>
      <c r="Q21" s="15">
        <f t="shared" si="6"/>
        <v>-3.2148900169204686E-2</v>
      </c>
    </row>
    <row r="22" spans="1:17" s="40" customFormat="1" ht="12" customHeight="1" x14ac:dyDescent="0.2">
      <c r="A22" s="25" t="s">
        <v>16</v>
      </c>
      <c r="B22" s="26">
        <v>25</v>
      </c>
      <c r="C22" s="26">
        <v>19</v>
      </c>
      <c r="D22" s="26">
        <v>24</v>
      </c>
      <c r="E22" s="22">
        <f t="shared" si="3"/>
        <v>0.26315789473684204</v>
      </c>
      <c r="F22" s="26">
        <v>56</v>
      </c>
      <c r="G22" s="26">
        <v>74</v>
      </c>
      <c r="H22" s="26">
        <v>80</v>
      </c>
      <c r="I22" s="15">
        <f t="shared" si="4"/>
        <v>8.1081081081081141E-2</v>
      </c>
      <c r="J22" s="13">
        <v>1051</v>
      </c>
      <c r="K22" s="13">
        <v>1133</v>
      </c>
      <c r="L22" s="13">
        <v>1165</v>
      </c>
      <c r="M22" s="22">
        <f t="shared" si="5"/>
        <v>2.8243601059135148E-2</v>
      </c>
      <c r="N22" s="13">
        <f t="shared" si="0"/>
        <v>1132</v>
      </c>
      <c r="O22" s="13">
        <f t="shared" si="1"/>
        <v>1226</v>
      </c>
      <c r="P22" s="13">
        <f t="shared" si="2"/>
        <v>1269</v>
      </c>
      <c r="Q22" s="15">
        <f t="shared" si="6"/>
        <v>3.507340946166404E-2</v>
      </c>
    </row>
    <row r="23" spans="1:17" s="40" customFormat="1" ht="12" customHeight="1" x14ac:dyDescent="0.2">
      <c r="A23" s="25" t="s">
        <v>344</v>
      </c>
      <c r="B23" s="26">
        <v>10</v>
      </c>
      <c r="C23" s="26">
        <v>10</v>
      </c>
      <c r="D23" s="26">
        <v>8</v>
      </c>
      <c r="E23" s="22">
        <f t="shared" si="3"/>
        <v>-0.19999999999999996</v>
      </c>
      <c r="F23" s="26">
        <v>59</v>
      </c>
      <c r="G23" s="26">
        <v>68</v>
      </c>
      <c r="H23" s="26">
        <v>67</v>
      </c>
      <c r="I23" s="15">
        <f t="shared" si="4"/>
        <v>-1.4705882352941124E-2</v>
      </c>
      <c r="J23" s="26">
        <v>429</v>
      </c>
      <c r="K23" s="26">
        <v>483</v>
      </c>
      <c r="L23" s="26">
        <v>504</v>
      </c>
      <c r="M23" s="22">
        <f t="shared" si="5"/>
        <v>4.3478260869565188E-2</v>
      </c>
      <c r="N23" s="13">
        <f t="shared" si="0"/>
        <v>498</v>
      </c>
      <c r="O23" s="13">
        <f t="shared" si="1"/>
        <v>561</v>
      </c>
      <c r="P23" s="13">
        <f t="shared" si="2"/>
        <v>579</v>
      </c>
      <c r="Q23" s="15">
        <f t="shared" si="6"/>
        <v>3.2085561497326109E-2</v>
      </c>
    </row>
    <row r="24" spans="1:17" s="40" customFormat="1" ht="12" customHeight="1" x14ac:dyDescent="0.2">
      <c r="A24" s="25" t="s">
        <v>345</v>
      </c>
      <c r="B24" s="26">
        <v>10</v>
      </c>
      <c r="C24" s="26">
        <v>6</v>
      </c>
      <c r="D24" s="26">
        <v>7</v>
      </c>
      <c r="E24" s="22">
        <f t="shared" si="3"/>
        <v>0.16666666666666674</v>
      </c>
      <c r="F24" s="26">
        <v>65</v>
      </c>
      <c r="G24" s="26">
        <v>72</v>
      </c>
      <c r="H24" s="26">
        <v>52</v>
      </c>
      <c r="I24" s="15">
        <f t="shared" si="4"/>
        <v>-0.27777777777777779</v>
      </c>
      <c r="J24" s="26">
        <v>693</v>
      </c>
      <c r="K24" s="26">
        <v>763</v>
      </c>
      <c r="L24" s="26">
        <v>772</v>
      </c>
      <c r="M24" s="22">
        <f t="shared" si="5"/>
        <v>1.1795543905635641E-2</v>
      </c>
      <c r="N24" s="13">
        <f t="shared" si="0"/>
        <v>768</v>
      </c>
      <c r="O24" s="13">
        <f t="shared" si="1"/>
        <v>841</v>
      </c>
      <c r="P24" s="13">
        <f t="shared" si="2"/>
        <v>831</v>
      </c>
      <c r="Q24" s="15">
        <f t="shared" si="6"/>
        <v>-1.189060642092743E-2</v>
      </c>
    </row>
    <row r="25" spans="1:17" s="40" customFormat="1" ht="12" customHeight="1" thickBot="1" x14ac:dyDescent="0.25">
      <c r="A25" s="27" t="s">
        <v>0</v>
      </c>
      <c r="B25" s="23">
        <f>SUM(B5:B24)</f>
        <v>403</v>
      </c>
      <c r="C25" s="16">
        <f t="shared" ref="C25:D25" si="7">SUM(C5:C24)</f>
        <v>428</v>
      </c>
      <c r="D25" s="16">
        <f t="shared" si="7"/>
        <v>431</v>
      </c>
      <c r="E25" s="24">
        <f>D25/C25-1</f>
        <v>7.0093457943924964E-3</v>
      </c>
      <c r="F25" s="16">
        <f t="shared" ref="F25:H25" si="8">SUM(F5:F24)</f>
        <v>1515</v>
      </c>
      <c r="G25" s="16">
        <f t="shared" si="8"/>
        <v>1784</v>
      </c>
      <c r="H25" s="16">
        <f t="shared" si="8"/>
        <v>1775</v>
      </c>
      <c r="I25" s="17">
        <f>H25/G25-1</f>
        <v>-5.0448430493273966E-3</v>
      </c>
      <c r="J25" s="23">
        <f t="shared" ref="J25:L25" si="9">SUM(J5:J24)</f>
        <v>28876</v>
      </c>
      <c r="K25" s="16">
        <f t="shared" si="9"/>
        <v>29024</v>
      </c>
      <c r="L25" s="16">
        <f t="shared" si="9"/>
        <v>30263</v>
      </c>
      <c r="M25" s="24">
        <f>L25/K25-1</f>
        <v>4.268880926130092E-2</v>
      </c>
      <c r="N25" s="16">
        <f t="shared" ref="N25:P25" si="10">SUM(N5:N24)</f>
        <v>30794</v>
      </c>
      <c r="O25" s="16">
        <f t="shared" si="10"/>
        <v>31236</v>
      </c>
      <c r="P25" s="16">
        <f t="shared" si="10"/>
        <v>32469</v>
      </c>
      <c r="Q25" s="17">
        <f>P25/O25-1</f>
        <v>3.9473684210526327E-2</v>
      </c>
    </row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91" orientation="portrait" r:id="rId1"/>
  <ignoredErrors>
    <ignoredError sqref="B25:H25 N25" formulaRange="1"/>
    <ignoredError sqref="I25:M25" formula="1" formulaRange="1"/>
  </ignoredError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DA43-A6E3-4342-A38E-4E94A41318C7}">
  <sheetPr codeName="Planilha59"/>
  <dimension ref="A1:Q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28.332031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219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220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164</v>
      </c>
      <c r="B5" s="95">
        <v>4</v>
      </c>
      <c r="C5" s="95">
        <v>3</v>
      </c>
      <c r="D5" s="95">
        <v>3</v>
      </c>
      <c r="E5" s="114">
        <f t="shared" ref="E5:E11" si="0">D5/C5-1</f>
        <v>0</v>
      </c>
      <c r="F5" s="95">
        <v>6</v>
      </c>
      <c r="G5" s="95">
        <v>4</v>
      </c>
      <c r="H5" s="95">
        <v>5</v>
      </c>
      <c r="I5" s="113">
        <f t="shared" ref="I5:I11" si="1">H5/G5-1</f>
        <v>0.25</v>
      </c>
      <c r="J5" s="95">
        <v>117</v>
      </c>
      <c r="K5" s="95">
        <v>73</v>
      </c>
      <c r="L5" s="95">
        <v>88</v>
      </c>
      <c r="M5" s="114">
        <f t="shared" ref="M5:M11" si="2">L5/K5-1</f>
        <v>0.20547945205479445</v>
      </c>
      <c r="N5" s="94">
        <f t="shared" ref="N5:P11" si="3">B5+F5+J5</f>
        <v>127</v>
      </c>
      <c r="O5" s="111">
        <f t="shared" si="3"/>
        <v>80</v>
      </c>
      <c r="P5" s="111">
        <f t="shared" si="3"/>
        <v>96</v>
      </c>
      <c r="Q5" s="112">
        <f t="shared" ref="Q5:Q11" si="4">P5/O5-1</f>
        <v>0.19999999999999996</v>
      </c>
    </row>
    <row r="6" spans="1:17" s="40" customFormat="1" ht="12" customHeight="1" x14ac:dyDescent="0.2">
      <c r="A6" s="25" t="s">
        <v>165</v>
      </c>
      <c r="B6" s="95">
        <v>337</v>
      </c>
      <c r="C6" s="95">
        <v>363</v>
      </c>
      <c r="D6" s="95">
        <v>371</v>
      </c>
      <c r="E6" s="114">
        <f t="shared" si="0"/>
        <v>2.2038567493112948E-2</v>
      </c>
      <c r="F6" s="94">
        <v>1256</v>
      </c>
      <c r="G6" s="94">
        <v>1494</v>
      </c>
      <c r="H6" s="94">
        <v>1512</v>
      </c>
      <c r="I6" s="113">
        <f t="shared" si="1"/>
        <v>1.2048192771084265E-2</v>
      </c>
      <c r="J6" s="94">
        <v>25913</v>
      </c>
      <c r="K6" s="94">
        <v>25476</v>
      </c>
      <c r="L6" s="94">
        <v>26294</v>
      </c>
      <c r="M6" s="114">
        <f t="shared" si="2"/>
        <v>3.2108651279635803E-2</v>
      </c>
      <c r="N6" s="94">
        <f t="shared" si="3"/>
        <v>27506</v>
      </c>
      <c r="O6" s="94">
        <f t="shared" si="3"/>
        <v>27333</v>
      </c>
      <c r="P6" s="94">
        <f t="shared" si="3"/>
        <v>28177</v>
      </c>
      <c r="Q6" s="113">
        <f t="shared" si="4"/>
        <v>3.0878425346650529E-2</v>
      </c>
    </row>
    <row r="7" spans="1:17" s="40" customFormat="1" ht="12" customHeight="1" x14ac:dyDescent="0.2">
      <c r="A7" s="25" t="s">
        <v>166</v>
      </c>
      <c r="B7" s="95">
        <v>11</v>
      </c>
      <c r="C7" s="95">
        <v>7</v>
      </c>
      <c r="D7" s="95">
        <v>8</v>
      </c>
      <c r="E7" s="114">
        <f t="shared" si="0"/>
        <v>0.14285714285714279</v>
      </c>
      <c r="F7" s="95">
        <v>30</v>
      </c>
      <c r="G7" s="95">
        <v>24</v>
      </c>
      <c r="H7" s="95">
        <v>19</v>
      </c>
      <c r="I7" s="113">
        <f t="shared" si="1"/>
        <v>-0.20833333333333337</v>
      </c>
      <c r="J7" s="95">
        <v>174</v>
      </c>
      <c r="K7" s="95">
        <v>111</v>
      </c>
      <c r="L7" s="95">
        <v>146</v>
      </c>
      <c r="M7" s="114">
        <f t="shared" si="2"/>
        <v>0.31531531531531543</v>
      </c>
      <c r="N7" s="94">
        <f t="shared" si="3"/>
        <v>215</v>
      </c>
      <c r="O7" s="94">
        <f t="shared" si="3"/>
        <v>142</v>
      </c>
      <c r="P7" s="94">
        <f t="shared" si="3"/>
        <v>173</v>
      </c>
      <c r="Q7" s="113">
        <f t="shared" si="4"/>
        <v>0.21830985915492951</v>
      </c>
    </row>
    <row r="8" spans="1:17" s="40" customFormat="1" ht="12" customHeight="1" x14ac:dyDescent="0.2">
      <c r="A8" s="25" t="s">
        <v>167</v>
      </c>
      <c r="B8" s="95">
        <v>1</v>
      </c>
      <c r="C8" s="95">
        <v>0</v>
      </c>
      <c r="D8" s="95">
        <v>0</v>
      </c>
      <c r="E8" s="114" t="s">
        <v>62</v>
      </c>
      <c r="F8" s="95">
        <v>0</v>
      </c>
      <c r="G8" s="95">
        <v>1</v>
      </c>
      <c r="H8" s="95">
        <v>1</v>
      </c>
      <c r="I8" s="113">
        <f t="shared" si="1"/>
        <v>0</v>
      </c>
      <c r="J8" s="95">
        <v>18</v>
      </c>
      <c r="K8" s="95">
        <v>21</v>
      </c>
      <c r="L8" s="95">
        <v>19</v>
      </c>
      <c r="M8" s="114">
        <f t="shared" si="2"/>
        <v>-9.5238095238095233E-2</v>
      </c>
      <c r="N8" s="94">
        <f t="shared" si="3"/>
        <v>19</v>
      </c>
      <c r="O8" s="94">
        <f t="shared" si="3"/>
        <v>22</v>
      </c>
      <c r="P8" s="94">
        <f t="shared" si="3"/>
        <v>20</v>
      </c>
      <c r="Q8" s="113">
        <f t="shared" si="4"/>
        <v>-9.0909090909090939E-2</v>
      </c>
    </row>
    <row r="9" spans="1:17" s="40" customFormat="1" ht="12" customHeight="1" x14ac:dyDescent="0.2">
      <c r="A9" s="25" t="s">
        <v>168</v>
      </c>
      <c r="B9" s="95">
        <v>27</v>
      </c>
      <c r="C9" s="95">
        <v>32</v>
      </c>
      <c r="D9" s="95">
        <v>30</v>
      </c>
      <c r="E9" s="114">
        <f t="shared" si="0"/>
        <v>-6.25E-2</v>
      </c>
      <c r="F9" s="95">
        <v>118</v>
      </c>
      <c r="G9" s="95">
        <v>180</v>
      </c>
      <c r="H9" s="95">
        <v>164</v>
      </c>
      <c r="I9" s="113">
        <f t="shared" si="1"/>
        <v>-8.8888888888888906E-2</v>
      </c>
      <c r="J9" s="94">
        <v>2114</v>
      </c>
      <c r="K9" s="94">
        <v>2944</v>
      </c>
      <c r="L9" s="94">
        <v>3304</v>
      </c>
      <c r="M9" s="114">
        <f t="shared" si="2"/>
        <v>0.12228260869565211</v>
      </c>
      <c r="N9" s="94">
        <f t="shared" si="3"/>
        <v>2259</v>
      </c>
      <c r="O9" s="94">
        <f t="shared" si="3"/>
        <v>3156</v>
      </c>
      <c r="P9" s="94">
        <f t="shared" si="3"/>
        <v>3498</v>
      </c>
      <c r="Q9" s="113">
        <f t="shared" si="4"/>
        <v>0.10836501901140694</v>
      </c>
    </row>
    <row r="10" spans="1:17" s="40" customFormat="1" ht="12" customHeight="1" x14ac:dyDescent="0.2">
      <c r="A10" s="25" t="s">
        <v>169</v>
      </c>
      <c r="B10" s="95">
        <v>16</v>
      </c>
      <c r="C10" s="95">
        <v>22</v>
      </c>
      <c r="D10" s="95">
        <v>17</v>
      </c>
      <c r="E10" s="114">
        <f t="shared" si="0"/>
        <v>-0.22727272727272729</v>
      </c>
      <c r="F10" s="95">
        <v>79</v>
      </c>
      <c r="G10" s="95">
        <v>76</v>
      </c>
      <c r="H10" s="95">
        <v>69</v>
      </c>
      <c r="I10" s="113">
        <f t="shared" si="1"/>
        <v>-9.210526315789469E-2</v>
      </c>
      <c r="J10" s="95">
        <v>283</v>
      </c>
      <c r="K10" s="95">
        <v>268</v>
      </c>
      <c r="L10" s="95">
        <v>272</v>
      </c>
      <c r="M10" s="114">
        <f t="shared" si="2"/>
        <v>1.4925373134328401E-2</v>
      </c>
      <c r="N10" s="94">
        <f t="shared" si="3"/>
        <v>378</v>
      </c>
      <c r="O10" s="94">
        <f t="shared" si="3"/>
        <v>366</v>
      </c>
      <c r="P10" s="94">
        <f t="shared" si="3"/>
        <v>358</v>
      </c>
      <c r="Q10" s="113">
        <f t="shared" si="4"/>
        <v>-2.1857923497267784E-2</v>
      </c>
    </row>
    <row r="11" spans="1:17" s="40" customFormat="1" ht="12" customHeight="1" x14ac:dyDescent="0.2">
      <c r="A11" s="25" t="s">
        <v>278</v>
      </c>
      <c r="B11" s="95">
        <v>7</v>
      </c>
      <c r="C11" s="95">
        <v>1</v>
      </c>
      <c r="D11" s="95">
        <v>2</v>
      </c>
      <c r="E11" s="114">
        <f t="shared" si="0"/>
        <v>1</v>
      </c>
      <c r="F11" s="95">
        <v>26</v>
      </c>
      <c r="G11" s="95">
        <v>5</v>
      </c>
      <c r="H11" s="95">
        <v>5</v>
      </c>
      <c r="I11" s="113">
        <f t="shared" si="1"/>
        <v>0</v>
      </c>
      <c r="J11" s="95">
        <v>257</v>
      </c>
      <c r="K11" s="95">
        <v>131</v>
      </c>
      <c r="L11" s="95">
        <v>140</v>
      </c>
      <c r="M11" s="114">
        <f t="shared" si="2"/>
        <v>6.8702290076335881E-2</v>
      </c>
      <c r="N11" s="94">
        <f t="shared" si="3"/>
        <v>290</v>
      </c>
      <c r="O11" s="94">
        <f t="shared" si="3"/>
        <v>137</v>
      </c>
      <c r="P11" s="94">
        <f t="shared" si="3"/>
        <v>147</v>
      </c>
      <c r="Q11" s="113">
        <f t="shared" si="4"/>
        <v>7.2992700729926918E-2</v>
      </c>
    </row>
    <row r="12" spans="1:17" s="40" customFormat="1" ht="12" customHeight="1" thickBot="1" x14ac:dyDescent="0.25">
      <c r="A12" s="27" t="s">
        <v>0</v>
      </c>
      <c r="B12" s="23">
        <f>SUM(B5:B11)</f>
        <v>403</v>
      </c>
      <c r="C12" s="16">
        <f t="shared" ref="C12:D12" si="5">SUM(C5:C11)</f>
        <v>428</v>
      </c>
      <c r="D12" s="16">
        <f t="shared" si="5"/>
        <v>431</v>
      </c>
      <c r="E12" s="24">
        <f>D12/C12-1</f>
        <v>7.0093457943924964E-3</v>
      </c>
      <c r="F12" s="16">
        <f>SUM(F5:F11)</f>
        <v>1515</v>
      </c>
      <c r="G12" s="16">
        <f t="shared" ref="G12:H12" si="6">SUM(G5:G11)</f>
        <v>1784</v>
      </c>
      <c r="H12" s="16">
        <f t="shared" si="6"/>
        <v>1775</v>
      </c>
      <c r="I12" s="17">
        <f>H12/G12-1</f>
        <v>-5.0448430493273966E-3</v>
      </c>
      <c r="J12" s="23">
        <f>SUM(J5:J11)</f>
        <v>28876</v>
      </c>
      <c r="K12" s="16">
        <f t="shared" ref="K12:L12" si="7">SUM(K5:K11)</f>
        <v>29024</v>
      </c>
      <c r="L12" s="16">
        <f t="shared" si="7"/>
        <v>30263</v>
      </c>
      <c r="M12" s="24">
        <f>L12/K12-1</f>
        <v>4.268880926130092E-2</v>
      </c>
      <c r="N12" s="16">
        <f>SUM(N5:N11)</f>
        <v>30794</v>
      </c>
      <c r="O12" s="16">
        <f t="shared" ref="O12:P12" si="8">SUM(O5:O11)</f>
        <v>31236</v>
      </c>
      <c r="P12" s="16">
        <f t="shared" si="8"/>
        <v>32469</v>
      </c>
      <c r="Q12" s="17">
        <f>P12/O12-1</f>
        <v>3.9473684210526327E-2</v>
      </c>
    </row>
    <row r="13" spans="1:17" s="40" customFormat="1" ht="12" customHeight="1" x14ac:dyDescent="0.2">
      <c r="A13" s="40" t="s">
        <v>338</v>
      </c>
    </row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2" orientation="portrait" r:id="rId1"/>
  <ignoredErrors>
    <ignoredError sqref="B12:D12 O12:Q12" formulaRange="1"/>
    <ignoredError sqref="E12:N12" formula="1" formulaRange="1"/>
  </ignoredError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23F3-A20D-4107-8156-14A750E636E2}">
  <sheetPr codeName="Planilha60"/>
  <dimension ref="A1:W33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9.109375" style="37" customWidth="1"/>
    <col min="2" max="23" width="7.6640625" style="37" customWidth="1"/>
    <col min="24" max="24" width="5.6640625" style="37" customWidth="1"/>
    <col min="25" max="16384" width="9.109375" style="37"/>
  </cols>
  <sheetData>
    <row r="1" spans="1:23" ht="19.95" customHeight="1" x14ac:dyDescent="0.3">
      <c r="A1" s="1" t="s">
        <v>215</v>
      </c>
      <c r="B1" s="29"/>
      <c r="C1" s="29"/>
      <c r="D1" s="29"/>
      <c r="E1" s="29"/>
      <c r="F1" s="29"/>
      <c r="G1" s="33"/>
    </row>
    <row r="2" spans="1:23" s="40" customFormat="1" ht="25.2" customHeight="1" thickBot="1" x14ac:dyDescent="0.25"/>
    <row r="3" spans="1:23" s="40" customFormat="1" ht="13.95" customHeight="1" x14ac:dyDescent="0.2">
      <c r="A3" s="213" t="s">
        <v>233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6"/>
      <c r="R3" s="215" t="s">
        <v>170</v>
      </c>
      <c r="S3" s="216"/>
      <c r="T3" s="217"/>
      <c r="U3" s="216" t="s">
        <v>171</v>
      </c>
      <c r="V3" s="216"/>
      <c r="W3" s="216"/>
    </row>
    <row r="4" spans="1:23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  <c r="R4" s="141">
        <v>2019</v>
      </c>
      <c r="S4" s="65">
        <v>2023</v>
      </c>
      <c r="T4" s="66">
        <v>2024</v>
      </c>
      <c r="U4" s="65">
        <v>2019</v>
      </c>
      <c r="V4" s="65">
        <v>2023</v>
      </c>
      <c r="W4" s="65">
        <v>2024</v>
      </c>
    </row>
    <row r="5" spans="1:23" s="40" customFormat="1" ht="12" customHeight="1" x14ac:dyDescent="0.2">
      <c r="A5" s="25" t="s">
        <v>77</v>
      </c>
      <c r="B5" s="26">
        <v>191</v>
      </c>
      <c r="C5" s="26">
        <v>188</v>
      </c>
      <c r="D5" s="26">
        <v>198</v>
      </c>
      <c r="E5" s="22">
        <f t="shared" ref="E5:E13" si="0">D5/C5-1</f>
        <v>5.3191489361702038E-2</v>
      </c>
      <c r="F5" s="26">
        <v>624</v>
      </c>
      <c r="G5" s="26">
        <v>678</v>
      </c>
      <c r="H5" s="26">
        <v>655</v>
      </c>
      <c r="I5" s="15">
        <f>H5/G5-1</f>
        <v>-3.3923303834808238E-2</v>
      </c>
      <c r="J5" s="13">
        <v>17396</v>
      </c>
      <c r="K5" s="13">
        <v>15807</v>
      </c>
      <c r="L5" s="13">
        <v>16260</v>
      </c>
      <c r="M5" s="22">
        <f>L5/K5-1</f>
        <v>2.8658189409755064E-2</v>
      </c>
      <c r="N5" s="13">
        <f t="shared" ref="N5:N14" si="1">B5+F5+J5</f>
        <v>18211</v>
      </c>
      <c r="O5" s="13">
        <f t="shared" ref="O5:O14" si="2">C5+G5+K5</f>
        <v>16673</v>
      </c>
      <c r="P5" s="13">
        <f t="shared" ref="P5:P14" si="3">D5+H5+L5</f>
        <v>17113</v>
      </c>
      <c r="Q5" s="15">
        <f>P5/O5-1</f>
        <v>2.6389971810711899E-2</v>
      </c>
      <c r="R5" s="74">
        <f>(B5/(N5/100))</f>
        <v>1.048816649277909</v>
      </c>
      <c r="S5" s="72">
        <f>(C5/(O5/100))</f>
        <v>1.1275715228213279</v>
      </c>
      <c r="T5" s="73">
        <f>(D5/(P5/100))</f>
        <v>1.1570151346929236</v>
      </c>
      <c r="U5" s="72">
        <f>(F5/(N5/100))</f>
        <v>3.4265004667508645</v>
      </c>
      <c r="V5" s="72">
        <f t="shared" ref="V5:W15" si="4">(G5/(O5/100))</f>
        <v>4.0664547471960661</v>
      </c>
      <c r="W5" s="72">
        <f t="shared" si="4"/>
        <v>3.8274995617366914</v>
      </c>
    </row>
    <row r="6" spans="1:23" s="40" customFormat="1" ht="12" customHeight="1" x14ac:dyDescent="0.2">
      <c r="A6" s="25" t="s">
        <v>78</v>
      </c>
      <c r="B6" s="26">
        <v>7</v>
      </c>
      <c r="C6" s="26">
        <v>7</v>
      </c>
      <c r="D6" s="26">
        <v>3</v>
      </c>
      <c r="E6" s="22">
        <f t="shared" si="0"/>
        <v>-0.5714285714285714</v>
      </c>
      <c r="F6" s="26">
        <v>29</v>
      </c>
      <c r="G6" s="26">
        <v>19</v>
      </c>
      <c r="H6" s="26">
        <v>18</v>
      </c>
      <c r="I6" s="15">
        <f t="shared" ref="I6:I14" si="5">H6/G6-1</f>
        <v>-5.2631578947368474E-2</v>
      </c>
      <c r="J6" s="26">
        <v>273</v>
      </c>
      <c r="K6" s="26">
        <v>228</v>
      </c>
      <c r="L6" s="26">
        <v>277</v>
      </c>
      <c r="M6" s="22">
        <f t="shared" ref="M6:M14" si="6">L6/K6-1</f>
        <v>0.21491228070175428</v>
      </c>
      <c r="N6" s="13">
        <f t="shared" si="1"/>
        <v>309</v>
      </c>
      <c r="O6" s="13">
        <f t="shared" si="2"/>
        <v>254</v>
      </c>
      <c r="P6" s="13">
        <f t="shared" si="3"/>
        <v>298</v>
      </c>
      <c r="Q6" s="15">
        <f t="shared" ref="Q6:Q14" si="7">P6/O6-1</f>
        <v>0.17322834645669283</v>
      </c>
      <c r="R6" s="74">
        <f t="shared" ref="R6:T15" si="8">(B6/(N6/100))</f>
        <v>2.2653721682847898</v>
      </c>
      <c r="S6" s="75">
        <f t="shared" si="8"/>
        <v>2.7559055118110236</v>
      </c>
      <c r="T6" s="76">
        <f t="shared" si="8"/>
        <v>1.0067114093959733</v>
      </c>
      <c r="U6" s="75">
        <f t="shared" ref="U6:U15" si="9">(F6/(N6/100))</f>
        <v>9.3851132686084142</v>
      </c>
      <c r="V6" s="75">
        <f t="shared" si="4"/>
        <v>7.4803149606299213</v>
      </c>
      <c r="W6" s="75">
        <f t="shared" si="4"/>
        <v>6.0402684563758386</v>
      </c>
    </row>
    <row r="7" spans="1:23" s="40" customFormat="1" ht="12" customHeight="1" x14ac:dyDescent="0.2">
      <c r="A7" s="25" t="s">
        <v>91</v>
      </c>
      <c r="B7" s="26">
        <v>34</v>
      </c>
      <c r="C7" s="26">
        <v>28</v>
      </c>
      <c r="D7" s="26">
        <v>24</v>
      </c>
      <c r="E7" s="22">
        <f t="shared" si="0"/>
        <v>-0.1428571428571429</v>
      </c>
      <c r="F7" s="26">
        <v>153</v>
      </c>
      <c r="G7" s="26">
        <v>124</v>
      </c>
      <c r="H7" s="26">
        <v>119</v>
      </c>
      <c r="I7" s="15">
        <f t="shared" si="5"/>
        <v>-4.0322580645161255E-2</v>
      </c>
      <c r="J7" s="13">
        <v>2198</v>
      </c>
      <c r="K7" s="13">
        <v>1676</v>
      </c>
      <c r="L7" s="13">
        <v>1472</v>
      </c>
      <c r="M7" s="22">
        <f t="shared" si="6"/>
        <v>-0.12171837708830546</v>
      </c>
      <c r="N7" s="13">
        <f t="shared" si="1"/>
        <v>2385</v>
      </c>
      <c r="O7" s="13">
        <f t="shared" si="2"/>
        <v>1828</v>
      </c>
      <c r="P7" s="13">
        <f t="shared" si="3"/>
        <v>1615</v>
      </c>
      <c r="Q7" s="15">
        <f t="shared" si="7"/>
        <v>-0.1165207877461707</v>
      </c>
      <c r="R7" s="74">
        <f t="shared" si="8"/>
        <v>1.4255765199161425</v>
      </c>
      <c r="S7" s="75">
        <f t="shared" si="8"/>
        <v>1.5317286652078774</v>
      </c>
      <c r="T7" s="76">
        <f t="shared" si="8"/>
        <v>1.4860681114551084</v>
      </c>
      <c r="U7" s="75">
        <f t="shared" si="9"/>
        <v>6.415094339622641</v>
      </c>
      <c r="V7" s="75">
        <f t="shared" si="4"/>
        <v>6.783369803063457</v>
      </c>
      <c r="W7" s="75">
        <f t="shared" si="4"/>
        <v>7.3684210526315796</v>
      </c>
    </row>
    <row r="8" spans="1:23" s="40" customFormat="1" ht="12" customHeight="1" x14ac:dyDescent="0.2">
      <c r="A8" s="25" t="s">
        <v>79</v>
      </c>
      <c r="B8" s="26">
        <v>34</v>
      </c>
      <c r="C8" s="26">
        <v>45</v>
      </c>
      <c r="D8" s="26">
        <v>39</v>
      </c>
      <c r="E8" s="22">
        <f t="shared" si="0"/>
        <v>-0.1333333333333333</v>
      </c>
      <c r="F8" s="26">
        <v>206</v>
      </c>
      <c r="G8" s="26">
        <v>278</v>
      </c>
      <c r="H8" s="26">
        <v>307</v>
      </c>
      <c r="I8" s="15">
        <f t="shared" si="5"/>
        <v>0.10431654676258995</v>
      </c>
      <c r="J8" s="13">
        <v>3989</v>
      </c>
      <c r="K8" s="13">
        <v>4922</v>
      </c>
      <c r="L8" s="13">
        <v>5211</v>
      </c>
      <c r="M8" s="22">
        <f t="shared" si="6"/>
        <v>5.8715969118244615E-2</v>
      </c>
      <c r="N8" s="13">
        <f t="shared" si="1"/>
        <v>4229</v>
      </c>
      <c r="O8" s="13">
        <f t="shared" si="2"/>
        <v>5245</v>
      </c>
      <c r="P8" s="13">
        <f t="shared" si="3"/>
        <v>5557</v>
      </c>
      <c r="Q8" s="15">
        <f t="shared" si="7"/>
        <v>5.9485224022878924E-2</v>
      </c>
      <c r="R8" s="74">
        <f t="shared" si="8"/>
        <v>0.80397257034759995</v>
      </c>
      <c r="S8" s="75">
        <f t="shared" si="8"/>
        <v>0.85795996186844614</v>
      </c>
      <c r="T8" s="76">
        <f t="shared" si="8"/>
        <v>0.70181752744286485</v>
      </c>
      <c r="U8" s="75">
        <f t="shared" si="9"/>
        <v>4.8711279262236937</v>
      </c>
      <c r="V8" s="75">
        <f t="shared" si="4"/>
        <v>5.3002859866539556</v>
      </c>
      <c r="W8" s="75">
        <f t="shared" si="4"/>
        <v>5.5245636134604998</v>
      </c>
    </row>
    <row r="9" spans="1:23" s="40" customFormat="1" ht="12" customHeight="1" x14ac:dyDescent="0.2">
      <c r="A9" s="25" t="s">
        <v>80</v>
      </c>
      <c r="B9" s="26">
        <v>84</v>
      </c>
      <c r="C9" s="26">
        <v>109</v>
      </c>
      <c r="D9" s="26">
        <v>117</v>
      </c>
      <c r="E9" s="22">
        <f t="shared" si="0"/>
        <v>7.3394495412844041E-2</v>
      </c>
      <c r="F9" s="26">
        <v>319</v>
      </c>
      <c r="G9" s="26">
        <v>467</v>
      </c>
      <c r="H9" s="26">
        <v>452</v>
      </c>
      <c r="I9" s="15">
        <f t="shared" si="5"/>
        <v>-3.2119914346895095E-2</v>
      </c>
      <c r="J9" s="13">
        <v>2511</v>
      </c>
      <c r="K9" s="13">
        <v>3130</v>
      </c>
      <c r="L9" s="13">
        <v>3411</v>
      </c>
      <c r="M9" s="22">
        <f t="shared" si="6"/>
        <v>8.977635782747595E-2</v>
      </c>
      <c r="N9" s="13">
        <f t="shared" si="1"/>
        <v>2914</v>
      </c>
      <c r="O9" s="13">
        <f t="shared" si="2"/>
        <v>3706</v>
      </c>
      <c r="P9" s="13">
        <f t="shared" si="3"/>
        <v>3980</v>
      </c>
      <c r="Q9" s="15">
        <f t="shared" si="7"/>
        <v>7.3934160820291472E-2</v>
      </c>
      <c r="R9" s="74">
        <f t="shared" si="8"/>
        <v>2.8826355525051475</v>
      </c>
      <c r="S9" s="75">
        <f t="shared" si="8"/>
        <v>2.9411764705882351</v>
      </c>
      <c r="T9" s="76">
        <f t="shared" si="8"/>
        <v>2.9396984924623117</v>
      </c>
      <c r="U9" s="75">
        <f t="shared" si="9"/>
        <v>10.947151681537406</v>
      </c>
      <c r="V9" s="75">
        <f t="shared" si="4"/>
        <v>12.601187263896383</v>
      </c>
      <c r="W9" s="75">
        <f t="shared" si="4"/>
        <v>11.356783919597991</v>
      </c>
    </row>
    <row r="10" spans="1:23" s="40" customFormat="1" ht="12" customHeight="1" x14ac:dyDescent="0.2">
      <c r="A10" s="25" t="s">
        <v>81</v>
      </c>
      <c r="B10" s="26">
        <v>27</v>
      </c>
      <c r="C10" s="26">
        <v>32</v>
      </c>
      <c r="D10" s="26">
        <v>30</v>
      </c>
      <c r="E10" s="22">
        <f t="shared" si="0"/>
        <v>-6.25E-2</v>
      </c>
      <c r="F10" s="26">
        <v>97</v>
      </c>
      <c r="G10" s="26">
        <v>180</v>
      </c>
      <c r="H10" s="26">
        <v>167</v>
      </c>
      <c r="I10" s="15">
        <f t="shared" si="5"/>
        <v>-7.2222222222222188E-2</v>
      </c>
      <c r="J10" s="13">
        <v>1644</v>
      </c>
      <c r="K10" s="13">
        <v>2946</v>
      </c>
      <c r="L10" s="13">
        <v>3323</v>
      </c>
      <c r="M10" s="22">
        <f t="shared" si="6"/>
        <v>0.12797012898845894</v>
      </c>
      <c r="N10" s="13">
        <f t="shared" si="1"/>
        <v>1768</v>
      </c>
      <c r="O10" s="13">
        <f t="shared" si="2"/>
        <v>3158</v>
      </c>
      <c r="P10" s="13">
        <f t="shared" si="3"/>
        <v>3520</v>
      </c>
      <c r="Q10" s="15">
        <f t="shared" si="7"/>
        <v>0.1146295123495884</v>
      </c>
      <c r="R10" s="74">
        <f t="shared" si="8"/>
        <v>1.5271493212669685</v>
      </c>
      <c r="S10" s="75">
        <f t="shared" si="8"/>
        <v>1.013299556681444</v>
      </c>
      <c r="T10" s="76">
        <f t="shared" si="8"/>
        <v>0.85227272727272718</v>
      </c>
      <c r="U10" s="75">
        <f t="shared" si="9"/>
        <v>5.4864253393665159</v>
      </c>
      <c r="V10" s="75">
        <f t="shared" si="4"/>
        <v>5.6998100063331227</v>
      </c>
      <c r="W10" s="75">
        <f t="shared" si="4"/>
        <v>4.7443181818181817</v>
      </c>
    </row>
    <row r="11" spans="1:23" s="40" customFormat="1" ht="12" customHeight="1" x14ac:dyDescent="0.2">
      <c r="A11" s="25" t="s">
        <v>82</v>
      </c>
      <c r="B11" s="26">
        <v>11</v>
      </c>
      <c r="C11" s="26">
        <v>9</v>
      </c>
      <c r="D11" s="26">
        <v>7</v>
      </c>
      <c r="E11" s="22">
        <f t="shared" si="0"/>
        <v>-0.22222222222222221</v>
      </c>
      <c r="F11" s="26">
        <v>36</v>
      </c>
      <c r="G11" s="26">
        <v>19</v>
      </c>
      <c r="H11" s="26">
        <v>24</v>
      </c>
      <c r="I11" s="15">
        <f t="shared" si="5"/>
        <v>0.26315789473684204</v>
      </c>
      <c r="J11" s="26">
        <v>246</v>
      </c>
      <c r="K11" s="26">
        <v>187</v>
      </c>
      <c r="L11" s="26">
        <v>170</v>
      </c>
      <c r="M11" s="22">
        <f t="shared" si="6"/>
        <v>-9.0909090909090939E-2</v>
      </c>
      <c r="N11" s="13">
        <f t="shared" si="1"/>
        <v>293</v>
      </c>
      <c r="O11" s="13">
        <f t="shared" si="2"/>
        <v>215</v>
      </c>
      <c r="P11" s="13">
        <f t="shared" si="3"/>
        <v>201</v>
      </c>
      <c r="Q11" s="15">
        <f t="shared" si="7"/>
        <v>-6.5116279069767469E-2</v>
      </c>
      <c r="R11" s="74">
        <f t="shared" si="8"/>
        <v>3.7542662116040955</v>
      </c>
      <c r="S11" s="75">
        <f t="shared" si="8"/>
        <v>4.1860465116279073</v>
      </c>
      <c r="T11" s="76">
        <f t="shared" si="8"/>
        <v>3.4825870646766175</v>
      </c>
      <c r="U11" s="75">
        <f t="shared" si="9"/>
        <v>12.286689419795222</v>
      </c>
      <c r="V11" s="75">
        <f t="shared" si="4"/>
        <v>8.8372093023255811</v>
      </c>
      <c r="W11" s="75">
        <f t="shared" si="4"/>
        <v>11.940298507462687</v>
      </c>
    </row>
    <row r="12" spans="1:23" s="40" customFormat="1" ht="12" customHeight="1" x14ac:dyDescent="0.2">
      <c r="A12" s="25" t="s">
        <v>83</v>
      </c>
      <c r="B12" s="26">
        <v>0</v>
      </c>
      <c r="C12" s="26">
        <v>0</v>
      </c>
      <c r="D12" s="26">
        <v>0</v>
      </c>
      <c r="E12" s="114" t="s">
        <v>62</v>
      </c>
      <c r="F12" s="26">
        <v>1</v>
      </c>
      <c r="G12" s="26">
        <v>4</v>
      </c>
      <c r="H12" s="26">
        <v>2</v>
      </c>
      <c r="I12" s="15">
        <f t="shared" si="5"/>
        <v>-0.5</v>
      </c>
      <c r="J12" s="26">
        <v>23</v>
      </c>
      <c r="K12" s="26">
        <v>19</v>
      </c>
      <c r="L12" s="26">
        <v>26</v>
      </c>
      <c r="M12" s="22">
        <f t="shared" si="6"/>
        <v>0.36842105263157898</v>
      </c>
      <c r="N12" s="13">
        <f t="shared" si="1"/>
        <v>24</v>
      </c>
      <c r="O12" s="13">
        <f t="shared" si="2"/>
        <v>23</v>
      </c>
      <c r="P12" s="13">
        <f t="shared" si="3"/>
        <v>28</v>
      </c>
      <c r="Q12" s="15">
        <f t="shared" si="7"/>
        <v>0.21739130434782616</v>
      </c>
      <c r="R12" s="74">
        <f t="shared" si="8"/>
        <v>0</v>
      </c>
      <c r="S12" s="75">
        <f t="shared" si="8"/>
        <v>0</v>
      </c>
      <c r="T12" s="76">
        <f t="shared" si="8"/>
        <v>0</v>
      </c>
      <c r="U12" s="75">
        <f t="shared" si="9"/>
        <v>4.166666666666667</v>
      </c>
      <c r="V12" s="75">
        <f t="shared" si="4"/>
        <v>17.391304347826086</v>
      </c>
      <c r="W12" s="75">
        <f t="shared" si="4"/>
        <v>7.1428571428571423</v>
      </c>
    </row>
    <row r="13" spans="1:23" s="40" customFormat="1" ht="12" customHeight="1" x14ac:dyDescent="0.2">
      <c r="A13" s="25" t="s">
        <v>84</v>
      </c>
      <c r="B13" s="26">
        <v>14</v>
      </c>
      <c r="C13" s="26">
        <v>10</v>
      </c>
      <c r="D13" s="26">
        <v>12</v>
      </c>
      <c r="E13" s="22">
        <f t="shared" si="0"/>
        <v>0.19999999999999996</v>
      </c>
      <c r="F13" s="26">
        <v>22</v>
      </c>
      <c r="G13" s="26">
        <v>12</v>
      </c>
      <c r="H13" s="26">
        <v>28</v>
      </c>
      <c r="I13" s="15">
        <f t="shared" si="5"/>
        <v>1.3333333333333335</v>
      </c>
      <c r="J13" s="26">
        <v>81</v>
      </c>
      <c r="K13" s="26">
        <v>89</v>
      </c>
      <c r="L13" s="26">
        <v>100</v>
      </c>
      <c r="M13" s="22">
        <f t="shared" si="6"/>
        <v>0.12359550561797761</v>
      </c>
      <c r="N13" s="13">
        <f t="shared" si="1"/>
        <v>117</v>
      </c>
      <c r="O13" s="13">
        <f t="shared" si="2"/>
        <v>111</v>
      </c>
      <c r="P13" s="13">
        <f t="shared" si="3"/>
        <v>140</v>
      </c>
      <c r="Q13" s="15">
        <f t="shared" si="7"/>
        <v>0.26126126126126126</v>
      </c>
      <c r="R13" s="74">
        <f t="shared" si="8"/>
        <v>11.965811965811966</v>
      </c>
      <c r="S13" s="75">
        <f t="shared" si="8"/>
        <v>9.0090090090090076</v>
      </c>
      <c r="T13" s="76">
        <f t="shared" si="8"/>
        <v>8.5714285714285712</v>
      </c>
      <c r="U13" s="75">
        <f t="shared" si="9"/>
        <v>18.803418803418804</v>
      </c>
      <c r="V13" s="75">
        <f t="shared" si="4"/>
        <v>10.810810810810811</v>
      </c>
      <c r="W13" s="75">
        <f t="shared" si="4"/>
        <v>20</v>
      </c>
    </row>
    <row r="14" spans="1:23" s="40" customFormat="1" ht="12" customHeight="1" x14ac:dyDescent="0.2">
      <c r="A14" s="25" t="s">
        <v>85</v>
      </c>
      <c r="B14" s="26">
        <v>1</v>
      </c>
      <c r="C14" s="26">
        <v>0</v>
      </c>
      <c r="D14" s="26">
        <v>1</v>
      </c>
      <c r="E14" s="114" t="s">
        <v>62</v>
      </c>
      <c r="F14" s="26">
        <v>28</v>
      </c>
      <c r="G14" s="26">
        <v>3</v>
      </c>
      <c r="H14" s="26">
        <v>3</v>
      </c>
      <c r="I14" s="15">
        <f t="shared" si="5"/>
        <v>0</v>
      </c>
      <c r="J14" s="26">
        <v>515</v>
      </c>
      <c r="K14" s="13">
        <v>20</v>
      </c>
      <c r="L14" s="13">
        <v>13</v>
      </c>
      <c r="M14" s="22">
        <f t="shared" si="6"/>
        <v>-0.35</v>
      </c>
      <c r="N14" s="13">
        <f t="shared" si="1"/>
        <v>544</v>
      </c>
      <c r="O14" s="13">
        <f t="shared" si="2"/>
        <v>23</v>
      </c>
      <c r="P14" s="13">
        <f t="shared" si="3"/>
        <v>17</v>
      </c>
      <c r="Q14" s="15">
        <f t="shared" si="7"/>
        <v>-0.26086956521739135</v>
      </c>
      <c r="R14" s="74">
        <f t="shared" si="8"/>
        <v>0.18382352941176469</v>
      </c>
      <c r="S14" s="75">
        <f t="shared" si="8"/>
        <v>0</v>
      </c>
      <c r="T14" s="76">
        <f t="shared" si="8"/>
        <v>5.8823529411764701</v>
      </c>
      <c r="U14" s="75">
        <f t="shared" si="9"/>
        <v>5.1470588235294112</v>
      </c>
      <c r="V14" s="75">
        <f t="shared" si="4"/>
        <v>13.043478260869565</v>
      </c>
      <c r="W14" s="75">
        <f t="shared" si="4"/>
        <v>17.647058823529409</v>
      </c>
    </row>
    <row r="15" spans="1:23" s="40" customFormat="1" ht="12" customHeight="1" thickBot="1" x14ac:dyDescent="0.25">
      <c r="A15" s="27" t="s">
        <v>0</v>
      </c>
      <c r="B15" s="23">
        <f>SUM(B5:B14)</f>
        <v>403</v>
      </c>
      <c r="C15" s="16">
        <f>SUM(C5:C14)</f>
        <v>428</v>
      </c>
      <c r="D15" s="16">
        <f>SUM(D5:D14)</f>
        <v>431</v>
      </c>
      <c r="E15" s="24">
        <f>D15/C15-1</f>
        <v>7.0093457943924964E-3</v>
      </c>
      <c r="F15" s="16">
        <f>SUM(F5:F14)</f>
        <v>1515</v>
      </c>
      <c r="G15" s="16">
        <f>SUM(G5:G14)</f>
        <v>1784</v>
      </c>
      <c r="H15" s="16">
        <f>SUM(H5:H14)</f>
        <v>1775</v>
      </c>
      <c r="I15" s="17">
        <f>H15/G15-1</f>
        <v>-5.0448430493273966E-3</v>
      </c>
      <c r="J15" s="23">
        <f>SUM(J5:J14)</f>
        <v>28876</v>
      </c>
      <c r="K15" s="16">
        <f>SUM(K5:K14)</f>
        <v>29024</v>
      </c>
      <c r="L15" s="16">
        <f>SUM(L5:L14)</f>
        <v>30263</v>
      </c>
      <c r="M15" s="24">
        <f>L15/K15-1</f>
        <v>4.268880926130092E-2</v>
      </c>
      <c r="N15" s="16">
        <f>SUM(N5:N14)</f>
        <v>30794</v>
      </c>
      <c r="O15" s="16">
        <f>SUM(O5:O14)</f>
        <v>31236</v>
      </c>
      <c r="P15" s="16">
        <f>SUM(P5:P14)</f>
        <v>32469</v>
      </c>
      <c r="Q15" s="17">
        <f>P15/O15-1</f>
        <v>3.9473684210526327E-2</v>
      </c>
      <c r="R15" s="77">
        <f t="shared" si="8"/>
        <v>1.308696499318049</v>
      </c>
      <c r="S15" s="78">
        <f t="shared" si="8"/>
        <v>1.3702138558074017</v>
      </c>
      <c r="T15" s="79">
        <f t="shared" si="8"/>
        <v>1.3274200006159722</v>
      </c>
      <c r="U15" s="78">
        <f t="shared" si="9"/>
        <v>4.9197895693966354</v>
      </c>
      <c r="V15" s="78">
        <f t="shared" si="4"/>
        <v>5.7113586886925338</v>
      </c>
      <c r="W15" s="78">
        <f t="shared" si="4"/>
        <v>5.4667529027687953</v>
      </c>
    </row>
    <row r="16" spans="1:23" s="40" customFormat="1" ht="12" customHeight="1" x14ac:dyDescent="0.2">
      <c r="A16" s="48" t="s">
        <v>365</v>
      </c>
    </row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sortState xmlns:xlrd2="http://schemas.microsoft.com/office/spreadsheetml/2017/richdata2" ref="V2">
    <sortCondition ref="V2"/>
  </sortState>
  <mergeCells count="7">
    <mergeCell ref="R3:T3"/>
    <mergeCell ref="U3:W3"/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70" orientation="portrait" r:id="rId1"/>
  <ignoredErrors>
    <ignoredError sqref="B15:D15 N15:X15" formulaRange="1"/>
    <ignoredError sqref="E15:M15" formula="1" formulaRange="1"/>
  </ignoredError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59C3-8BCC-4C7B-9E40-3969B8390253}">
  <sheetPr codeName="Planilha61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29.10937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216</v>
      </c>
      <c r="B1" s="36"/>
      <c r="C1" s="36"/>
      <c r="D1" s="36"/>
      <c r="E1" s="36"/>
      <c r="F1" s="36"/>
    </row>
    <row r="2" spans="1:17" s="40" customFormat="1" ht="25.2" customHeight="1" thickBot="1" x14ac:dyDescent="0.25"/>
    <row r="3" spans="1:17" s="40" customFormat="1" ht="13.95" customHeight="1" x14ac:dyDescent="0.2">
      <c r="A3" s="213" t="s">
        <v>172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181</v>
      </c>
      <c r="B5" s="26">
        <v>2</v>
      </c>
      <c r="C5" s="26">
        <v>3</v>
      </c>
      <c r="D5" s="26">
        <v>0</v>
      </c>
      <c r="E5" s="22">
        <f t="shared" ref="E5:E22" si="0">D5/C5-1</f>
        <v>-1</v>
      </c>
      <c r="F5" s="26">
        <v>13</v>
      </c>
      <c r="G5" s="26">
        <v>14</v>
      </c>
      <c r="H5" s="26">
        <v>16</v>
      </c>
      <c r="I5" s="15">
        <f t="shared" ref="I5:I22" si="1">H5/G5-1</f>
        <v>0.14285714285714279</v>
      </c>
      <c r="J5" s="26">
        <v>207</v>
      </c>
      <c r="K5" s="26">
        <v>258</v>
      </c>
      <c r="L5" s="26">
        <v>245</v>
      </c>
      <c r="M5" s="22">
        <f t="shared" ref="M5:M22" si="2">L5/K5-1</f>
        <v>-5.0387596899224785E-2</v>
      </c>
      <c r="N5" s="13">
        <f t="shared" ref="N5:N22" si="3">B5+F5+J5</f>
        <v>222</v>
      </c>
      <c r="O5" s="68">
        <f t="shared" ref="O5:O22" si="4">C5+G5+K5</f>
        <v>275</v>
      </c>
      <c r="P5" s="68">
        <f t="shared" ref="P5:P22" si="5">D5+H5+L5</f>
        <v>261</v>
      </c>
      <c r="Q5" s="81">
        <f t="shared" ref="Q5:Q22" si="6">P5/O5-1</f>
        <v>-5.0909090909090904E-2</v>
      </c>
    </row>
    <row r="6" spans="1:17" s="40" customFormat="1" ht="12" customHeight="1" x14ac:dyDescent="0.2">
      <c r="A6" s="25" t="s">
        <v>187</v>
      </c>
      <c r="B6" s="26">
        <v>4</v>
      </c>
      <c r="C6" s="26">
        <v>7</v>
      </c>
      <c r="D6" s="26">
        <v>15</v>
      </c>
      <c r="E6" s="22">
        <f t="shared" si="0"/>
        <v>1.1428571428571428</v>
      </c>
      <c r="F6" s="26">
        <v>19</v>
      </c>
      <c r="G6" s="26">
        <v>24</v>
      </c>
      <c r="H6" s="26">
        <v>24</v>
      </c>
      <c r="I6" s="15">
        <f t="shared" si="1"/>
        <v>0</v>
      </c>
      <c r="J6" s="26">
        <v>113</v>
      </c>
      <c r="K6" s="26">
        <v>132</v>
      </c>
      <c r="L6" s="26">
        <v>153</v>
      </c>
      <c r="M6" s="22">
        <f t="shared" si="2"/>
        <v>0.15909090909090917</v>
      </c>
      <c r="N6" s="13">
        <f t="shared" si="3"/>
        <v>136</v>
      </c>
      <c r="O6" s="13">
        <f t="shared" si="4"/>
        <v>163</v>
      </c>
      <c r="P6" s="13">
        <f t="shared" si="5"/>
        <v>192</v>
      </c>
      <c r="Q6" s="15">
        <f t="shared" si="6"/>
        <v>0.17791411042944794</v>
      </c>
    </row>
    <row r="7" spans="1:17" s="40" customFormat="1" ht="12" customHeight="1" x14ac:dyDescent="0.2">
      <c r="A7" s="25" t="s">
        <v>180</v>
      </c>
      <c r="B7" s="26">
        <v>10</v>
      </c>
      <c r="C7" s="26">
        <v>5</v>
      </c>
      <c r="D7" s="26">
        <v>12</v>
      </c>
      <c r="E7" s="22">
        <f t="shared" si="0"/>
        <v>1.4</v>
      </c>
      <c r="F7" s="26">
        <v>34</v>
      </c>
      <c r="G7" s="26">
        <v>30</v>
      </c>
      <c r="H7" s="26">
        <v>38</v>
      </c>
      <c r="I7" s="15">
        <f t="shared" si="1"/>
        <v>0.26666666666666661</v>
      </c>
      <c r="J7" s="26">
        <v>360</v>
      </c>
      <c r="K7" s="26">
        <v>353</v>
      </c>
      <c r="L7" s="26">
        <v>365</v>
      </c>
      <c r="M7" s="22">
        <f t="shared" si="2"/>
        <v>3.3994334277620331E-2</v>
      </c>
      <c r="N7" s="13">
        <f t="shared" si="3"/>
        <v>404</v>
      </c>
      <c r="O7" s="13">
        <f t="shared" si="4"/>
        <v>388</v>
      </c>
      <c r="P7" s="13">
        <f t="shared" si="5"/>
        <v>415</v>
      </c>
      <c r="Q7" s="15">
        <f t="shared" si="6"/>
        <v>6.9587628865979356E-2</v>
      </c>
    </row>
    <row r="8" spans="1:17" s="40" customFormat="1" ht="12" customHeight="1" x14ac:dyDescent="0.2">
      <c r="A8" s="25" t="s">
        <v>173</v>
      </c>
      <c r="B8" s="26">
        <v>342</v>
      </c>
      <c r="C8" s="26">
        <v>358</v>
      </c>
      <c r="D8" s="26">
        <v>345</v>
      </c>
      <c r="E8" s="22">
        <f t="shared" si="0"/>
        <v>-3.6312849162011163E-2</v>
      </c>
      <c r="F8" s="13">
        <v>1283</v>
      </c>
      <c r="G8" s="13">
        <v>1492</v>
      </c>
      <c r="H8" s="13">
        <v>1465</v>
      </c>
      <c r="I8" s="15">
        <f t="shared" si="1"/>
        <v>-1.8096514745308268E-2</v>
      </c>
      <c r="J8" s="13">
        <v>24134</v>
      </c>
      <c r="K8" s="13">
        <v>24035</v>
      </c>
      <c r="L8" s="13">
        <v>24950</v>
      </c>
      <c r="M8" s="22">
        <f t="shared" si="2"/>
        <v>3.8069482005408828E-2</v>
      </c>
      <c r="N8" s="13">
        <f t="shared" si="3"/>
        <v>25759</v>
      </c>
      <c r="O8" s="13">
        <f t="shared" si="4"/>
        <v>25885</v>
      </c>
      <c r="P8" s="13">
        <f t="shared" si="5"/>
        <v>26760</v>
      </c>
      <c r="Q8" s="15">
        <f t="shared" si="6"/>
        <v>3.3803361019895783E-2</v>
      </c>
    </row>
    <row r="9" spans="1:17" s="40" customFormat="1" ht="12" customHeight="1" x14ac:dyDescent="0.2">
      <c r="A9" s="25" t="s">
        <v>176</v>
      </c>
      <c r="B9" s="26">
        <v>4</v>
      </c>
      <c r="C9" s="26">
        <v>8</v>
      </c>
      <c r="D9" s="26">
        <v>4</v>
      </c>
      <c r="E9" s="22">
        <f t="shared" si="0"/>
        <v>-0.5</v>
      </c>
      <c r="F9" s="26">
        <v>22</v>
      </c>
      <c r="G9" s="26">
        <v>23</v>
      </c>
      <c r="H9" s="26">
        <v>39</v>
      </c>
      <c r="I9" s="15">
        <f t="shared" si="1"/>
        <v>0.69565217391304346</v>
      </c>
      <c r="J9" s="26">
        <v>445</v>
      </c>
      <c r="K9" s="26">
        <v>586</v>
      </c>
      <c r="L9" s="26">
        <v>629</v>
      </c>
      <c r="M9" s="22">
        <f t="shared" si="2"/>
        <v>7.3378839590443778E-2</v>
      </c>
      <c r="N9" s="13">
        <f t="shared" si="3"/>
        <v>471</v>
      </c>
      <c r="O9" s="13">
        <f t="shared" si="4"/>
        <v>617</v>
      </c>
      <c r="P9" s="13">
        <f t="shared" si="5"/>
        <v>672</v>
      </c>
      <c r="Q9" s="15">
        <f t="shared" si="6"/>
        <v>8.9141004862236528E-2</v>
      </c>
    </row>
    <row r="10" spans="1:17" s="40" customFormat="1" ht="12" customHeight="1" x14ac:dyDescent="0.2">
      <c r="A10" s="25" t="s">
        <v>186</v>
      </c>
      <c r="B10" s="26">
        <v>3</v>
      </c>
      <c r="C10" s="26">
        <v>1</v>
      </c>
      <c r="D10" s="26">
        <v>0</v>
      </c>
      <c r="E10" s="22">
        <f t="shared" si="0"/>
        <v>-1</v>
      </c>
      <c r="F10" s="26">
        <v>5</v>
      </c>
      <c r="G10" s="26">
        <v>6</v>
      </c>
      <c r="H10" s="26">
        <v>4</v>
      </c>
      <c r="I10" s="15">
        <f t="shared" si="1"/>
        <v>-0.33333333333333337</v>
      </c>
      <c r="J10" s="26">
        <v>67</v>
      </c>
      <c r="K10" s="26">
        <v>96</v>
      </c>
      <c r="L10" s="26">
        <v>80</v>
      </c>
      <c r="M10" s="22">
        <f t="shared" si="2"/>
        <v>-0.16666666666666663</v>
      </c>
      <c r="N10" s="13">
        <f t="shared" si="3"/>
        <v>75</v>
      </c>
      <c r="O10" s="13">
        <f t="shared" si="4"/>
        <v>103</v>
      </c>
      <c r="P10" s="13">
        <f t="shared" si="5"/>
        <v>84</v>
      </c>
      <c r="Q10" s="15">
        <f t="shared" si="6"/>
        <v>-0.18446601941747576</v>
      </c>
    </row>
    <row r="11" spans="1:17" s="40" customFormat="1" ht="12" customHeight="1" x14ac:dyDescent="0.2">
      <c r="A11" s="25" t="s">
        <v>179</v>
      </c>
      <c r="B11" s="26">
        <v>1</v>
      </c>
      <c r="C11" s="26">
        <v>0</v>
      </c>
      <c r="D11" s="26">
        <v>1</v>
      </c>
      <c r="E11" s="114" t="s">
        <v>62</v>
      </c>
      <c r="F11" s="26">
        <v>2</v>
      </c>
      <c r="G11" s="26">
        <v>2</v>
      </c>
      <c r="H11" s="26">
        <v>3</v>
      </c>
      <c r="I11" s="15">
        <f t="shared" si="1"/>
        <v>0.5</v>
      </c>
      <c r="J11" s="26">
        <v>93</v>
      </c>
      <c r="K11" s="26">
        <v>52</v>
      </c>
      <c r="L11" s="26">
        <v>76</v>
      </c>
      <c r="M11" s="22">
        <f t="shared" si="2"/>
        <v>0.46153846153846145</v>
      </c>
      <c r="N11" s="13">
        <f t="shared" si="3"/>
        <v>96</v>
      </c>
      <c r="O11" s="13">
        <f t="shared" si="4"/>
        <v>54</v>
      </c>
      <c r="P11" s="13">
        <f t="shared" si="5"/>
        <v>80</v>
      </c>
      <c r="Q11" s="15">
        <f t="shared" si="6"/>
        <v>0.4814814814814814</v>
      </c>
    </row>
    <row r="12" spans="1:17" s="40" customFormat="1" ht="12" customHeight="1" x14ac:dyDescent="0.2">
      <c r="A12" s="25" t="s">
        <v>178</v>
      </c>
      <c r="B12" s="26">
        <v>2</v>
      </c>
      <c r="C12" s="26">
        <v>0</v>
      </c>
      <c r="D12" s="26">
        <v>0</v>
      </c>
      <c r="E12" s="114" t="s">
        <v>62</v>
      </c>
      <c r="F12" s="26">
        <v>4</v>
      </c>
      <c r="G12" s="26">
        <v>9</v>
      </c>
      <c r="H12" s="26">
        <v>11</v>
      </c>
      <c r="I12" s="15">
        <f t="shared" si="1"/>
        <v>0.22222222222222232</v>
      </c>
      <c r="J12" s="26">
        <v>264</v>
      </c>
      <c r="K12" s="26">
        <v>271</v>
      </c>
      <c r="L12" s="26">
        <v>296</v>
      </c>
      <c r="M12" s="22">
        <f t="shared" si="2"/>
        <v>9.2250922509225175E-2</v>
      </c>
      <c r="N12" s="13">
        <f t="shared" si="3"/>
        <v>270</v>
      </c>
      <c r="O12" s="13">
        <f t="shared" si="4"/>
        <v>280</v>
      </c>
      <c r="P12" s="13">
        <f t="shared" si="5"/>
        <v>307</v>
      </c>
      <c r="Q12" s="15">
        <f t="shared" si="6"/>
        <v>9.642857142857153E-2</v>
      </c>
    </row>
    <row r="13" spans="1:17" s="40" customFormat="1" ht="12" customHeight="1" x14ac:dyDescent="0.2">
      <c r="A13" s="25" t="s">
        <v>174</v>
      </c>
      <c r="B13" s="26">
        <v>8</v>
      </c>
      <c r="C13" s="26">
        <v>11</v>
      </c>
      <c r="D13" s="26">
        <v>14</v>
      </c>
      <c r="E13" s="22">
        <f t="shared" si="0"/>
        <v>0.27272727272727271</v>
      </c>
      <c r="F13" s="26">
        <v>37</v>
      </c>
      <c r="G13" s="26">
        <v>43</v>
      </c>
      <c r="H13" s="26">
        <v>36</v>
      </c>
      <c r="I13" s="15">
        <f t="shared" si="1"/>
        <v>-0.16279069767441856</v>
      </c>
      <c r="J13" s="13">
        <v>1133</v>
      </c>
      <c r="K13" s="26">
        <v>1044</v>
      </c>
      <c r="L13" s="13">
        <v>1072</v>
      </c>
      <c r="M13" s="22">
        <f t="shared" si="2"/>
        <v>2.6819923371647514E-2</v>
      </c>
      <c r="N13" s="13">
        <f t="shared" si="3"/>
        <v>1178</v>
      </c>
      <c r="O13" s="13">
        <f t="shared" si="4"/>
        <v>1098</v>
      </c>
      <c r="P13" s="13">
        <f t="shared" si="5"/>
        <v>1122</v>
      </c>
      <c r="Q13" s="15">
        <f t="shared" si="6"/>
        <v>2.1857923497267784E-2</v>
      </c>
    </row>
    <row r="14" spans="1:17" s="40" customFormat="1" ht="12" customHeight="1" x14ac:dyDescent="0.2">
      <c r="A14" s="25" t="s">
        <v>185</v>
      </c>
      <c r="B14" s="26">
        <v>0</v>
      </c>
      <c r="C14" s="26">
        <v>2</v>
      </c>
      <c r="D14" s="26">
        <v>2</v>
      </c>
      <c r="E14" s="22">
        <f t="shared" si="0"/>
        <v>0</v>
      </c>
      <c r="F14" s="26">
        <v>4</v>
      </c>
      <c r="G14" s="26">
        <v>5</v>
      </c>
      <c r="H14" s="26">
        <v>11</v>
      </c>
      <c r="I14" s="15">
        <f t="shared" si="1"/>
        <v>1.2000000000000002</v>
      </c>
      <c r="J14" s="26">
        <v>97</v>
      </c>
      <c r="K14" s="26">
        <v>100</v>
      </c>
      <c r="L14" s="26">
        <v>109</v>
      </c>
      <c r="M14" s="22">
        <f t="shared" si="2"/>
        <v>9.000000000000008E-2</v>
      </c>
      <c r="N14" s="13">
        <f t="shared" si="3"/>
        <v>101</v>
      </c>
      <c r="O14" s="13">
        <f t="shared" si="4"/>
        <v>107</v>
      </c>
      <c r="P14" s="13">
        <f t="shared" si="5"/>
        <v>122</v>
      </c>
      <c r="Q14" s="15">
        <f t="shared" si="6"/>
        <v>0.14018691588785037</v>
      </c>
    </row>
    <row r="15" spans="1:17" s="40" customFormat="1" ht="12" customHeight="1" x14ac:dyDescent="0.2">
      <c r="A15" s="25" t="s">
        <v>183</v>
      </c>
      <c r="B15" s="26">
        <v>3</v>
      </c>
      <c r="C15" s="26">
        <v>3</v>
      </c>
      <c r="D15" s="26">
        <v>0</v>
      </c>
      <c r="E15" s="22">
        <f t="shared" si="0"/>
        <v>-1</v>
      </c>
      <c r="F15" s="26">
        <v>6</v>
      </c>
      <c r="G15" s="26">
        <v>7</v>
      </c>
      <c r="H15" s="26">
        <v>11</v>
      </c>
      <c r="I15" s="15">
        <f t="shared" si="1"/>
        <v>0.5714285714285714</v>
      </c>
      <c r="J15" s="26">
        <v>101</v>
      </c>
      <c r="K15" s="26">
        <v>117</v>
      </c>
      <c r="L15" s="26">
        <v>113</v>
      </c>
      <c r="M15" s="22">
        <f t="shared" si="2"/>
        <v>-3.4188034188034178E-2</v>
      </c>
      <c r="N15" s="13">
        <f t="shared" si="3"/>
        <v>110</v>
      </c>
      <c r="O15" s="13">
        <f t="shared" si="4"/>
        <v>127</v>
      </c>
      <c r="P15" s="13">
        <f t="shared" si="5"/>
        <v>124</v>
      </c>
      <c r="Q15" s="15">
        <f t="shared" si="6"/>
        <v>-2.3622047244094446E-2</v>
      </c>
    </row>
    <row r="16" spans="1:17" s="40" customFormat="1" ht="12" customHeight="1" x14ac:dyDescent="0.2">
      <c r="A16" s="25" t="s">
        <v>175</v>
      </c>
      <c r="B16" s="26">
        <v>3</v>
      </c>
      <c r="C16" s="26">
        <v>6</v>
      </c>
      <c r="D16" s="26">
        <v>5</v>
      </c>
      <c r="E16" s="22">
        <f t="shared" si="0"/>
        <v>-0.16666666666666663</v>
      </c>
      <c r="F16" s="26">
        <v>12</v>
      </c>
      <c r="G16" s="26">
        <v>15</v>
      </c>
      <c r="H16" s="26">
        <v>13</v>
      </c>
      <c r="I16" s="15">
        <f t="shared" si="1"/>
        <v>-0.1333333333333333</v>
      </c>
      <c r="J16" s="26">
        <v>664</v>
      </c>
      <c r="K16" s="26">
        <v>530</v>
      </c>
      <c r="L16" s="26">
        <v>591</v>
      </c>
      <c r="M16" s="22">
        <f t="shared" si="2"/>
        <v>0.11509433962264159</v>
      </c>
      <c r="N16" s="13">
        <f t="shared" si="3"/>
        <v>679</v>
      </c>
      <c r="O16" s="13">
        <f t="shared" si="4"/>
        <v>551</v>
      </c>
      <c r="P16" s="13">
        <f t="shared" si="5"/>
        <v>609</v>
      </c>
      <c r="Q16" s="15">
        <f t="shared" si="6"/>
        <v>0.10526315789473695</v>
      </c>
    </row>
    <row r="17" spans="1:17" s="40" customFormat="1" ht="12" customHeight="1" x14ac:dyDescent="0.2">
      <c r="A17" s="25" t="s">
        <v>182</v>
      </c>
      <c r="B17" s="26">
        <v>1</v>
      </c>
      <c r="C17" s="26">
        <v>1</v>
      </c>
      <c r="D17" s="26">
        <v>1</v>
      </c>
      <c r="E17" s="22">
        <f t="shared" si="0"/>
        <v>0</v>
      </c>
      <c r="F17" s="26">
        <v>4</v>
      </c>
      <c r="G17" s="26">
        <v>9</v>
      </c>
      <c r="H17" s="26">
        <v>7</v>
      </c>
      <c r="I17" s="15">
        <f t="shared" si="1"/>
        <v>-0.22222222222222221</v>
      </c>
      <c r="J17" s="26">
        <v>105</v>
      </c>
      <c r="K17" s="26">
        <v>116</v>
      </c>
      <c r="L17" s="26">
        <v>114</v>
      </c>
      <c r="M17" s="22">
        <f t="shared" si="2"/>
        <v>-1.7241379310344862E-2</v>
      </c>
      <c r="N17" s="13">
        <f t="shared" si="3"/>
        <v>110</v>
      </c>
      <c r="O17" s="13">
        <f t="shared" si="4"/>
        <v>126</v>
      </c>
      <c r="P17" s="13">
        <f t="shared" si="5"/>
        <v>122</v>
      </c>
      <c r="Q17" s="15">
        <f t="shared" si="6"/>
        <v>-3.1746031746031744E-2</v>
      </c>
    </row>
    <row r="18" spans="1:17" s="40" customFormat="1" ht="12" customHeight="1" x14ac:dyDescent="0.2">
      <c r="A18" s="25" t="s">
        <v>189</v>
      </c>
      <c r="B18" s="26">
        <v>0</v>
      </c>
      <c r="C18" s="26">
        <v>0</v>
      </c>
      <c r="D18" s="26">
        <v>0</v>
      </c>
      <c r="E18" s="114" t="s">
        <v>62</v>
      </c>
      <c r="F18" s="26">
        <v>2</v>
      </c>
      <c r="G18" s="26">
        <v>4</v>
      </c>
      <c r="H18" s="26">
        <v>2</v>
      </c>
      <c r="I18" s="15">
        <f t="shared" si="1"/>
        <v>-0.5</v>
      </c>
      <c r="J18" s="26">
        <v>20</v>
      </c>
      <c r="K18" s="26">
        <v>34</v>
      </c>
      <c r="L18" s="26">
        <v>40</v>
      </c>
      <c r="M18" s="22">
        <f t="shared" si="2"/>
        <v>0.17647058823529416</v>
      </c>
      <c r="N18" s="13">
        <f t="shared" si="3"/>
        <v>22</v>
      </c>
      <c r="O18" s="13">
        <f t="shared" si="4"/>
        <v>38</v>
      </c>
      <c r="P18" s="13">
        <f t="shared" si="5"/>
        <v>42</v>
      </c>
      <c r="Q18" s="15">
        <f t="shared" si="6"/>
        <v>0.10526315789473695</v>
      </c>
    </row>
    <row r="19" spans="1:17" s="40" customFormat="1" ht="12" customHeight="1" x14ac:dyDescent="0.2">
      <c r="A19" s="25" t="s">
        <v>184</v>
      </c>
      <c r="B19" s="26">
        <v>2</v>
      </c>
      <c r="C19" s="26">
        <v>2</v>
      </c>
      <c r="D19" s="26">
        <v>7</v>
      </c>
      <c r="E19" s="22">
        <f t="shared" si="0"/>
        <v>2.5</v>
      </c>
      <c r="F19" s="26">
        <v>4</v>
      </c>
      <c r="G19" s="26">
        <v>17</v>
      </c>
      <c r="H19" s="26">
        <v>13</v>
      </c>
      <c r="I19" s="15">
        <f t="shared" si="1"/>
        <v>-0.23529411764705888</v>
      </c>
      <c r="J19" s="26">
        <v>158</v>
      </c>
      <c r="K19" s="26">
        <v>180</v>
      </c>
      <c r="L19" s="26">
        <v>214</v>
      </c>
      <c r="M19" s="22">
        <f t="shared" si="2"/>
        <v>0.18888888888888888</v>
      </c>
      <c r="N19" s="13">
        <f t="shared" si="3"/>
        <v>164</v>
      </c>
      <c r="O19" s="13">
        <f t="shared" si="4"/>
        <v>199</v>
      </c>
      <c r="P19" s="13">
        <f t="shared" si="5"/>
        <v>234</v>
      </c>
      <c r="Q19" s="15">
        <f t="shared" si="6"/>
        <v>0.17587939698492461</v>
      </c>
    </row>
    <row r="20" spans="1:17" s="40" customFormat="1" ht="12" customHeight="1" x14ac:dyDescent="0.2">
      <c r="A20" s="25" t="s">
        <v>188</v>
      </c>
      <c r="B20" s="26">
        <v>2</v>
      </c>
      <c r="C20" s="26">
        <v>0</v>
      </c>
      <c r="D20" s="26">
        <v>2</v>
      </c>
      <c r="E20" s="114" t="s">
        <v>62</v>
      </c>
      <c r="F20" s="26">
        <v>8</v>
      </c>
      <c r="G20" s="26">
        <v>2</v>
      </c>
      <c r="H20" s="26">
        <v>5</v>
      </c>
      <c r="I20" s="15">
        <f t="shared" si="1"/>
        <v>1.5</v>
      </c>
      <c r="J20" s="26">
        <v>51</v>
      </c>
      <c r="K20" s="26">
        <v>79</v>
      </c>
      <c r="L20" s="26">
        <v>99</v>
      </c>
      <c r="M20" s="22">
        <f t="shared" si="2"/>
        <v>0.25316455696202533</v>
      </c>
      <c r="N20" s="13">
        <f t="shared" si="3"/>
        <v>61</v>
      </c>
      <c r="O20" s="13">
        <f t="shared" si="4"/>
        <v>81</v>
      </c>
      <c r="P20" s="13">
        <f t="shared" si="5"/>
        <v>106</v>
      </c>
      <c r="Q20" s="15">
        <f t="shared" si="6"/>
        <v>0.30864197530864201</v>
      </c>
    </row>
    <row r="21" spans="1:17" s="40" customFormat="1" ht="12" customHeight="1" x14ac:dyDescent="0.2">
      <c r="A21" s="25" t="s">
        <v>177</v>
      </c>
      <c r="B21" s="26">
        <v>16</v>
      </c>
      <c r="C21" s="26">
        <v>18</v>
      </c>
      <c r="D21" s="26">
        <v>20</v>
      </c>
      <c r="E21" s="22">
        <f t="shared" si="0"/>
        <v>0.11111111111111116</v>
      </c>
      <c r="F21" s="26">
        <v>46</v>
      </c>
      <c r="G21" s="26">
        <v>72</v>
      </c>
      <c r="H21" s="26">
        <v>64</v>
      </c>
      <c r="I21" s="15">
        <f t="shared" si="1"/>
        <v>-0.11111111111111116</v>
      </c>
      <c r="J21" s="26">
        <v>632</v>
      </c>
      <c r="K21" s="26">
        <v>738</v>
      </c>
      <c r="L21" s="26">
        <v>807</v>
      </c>
      <c r="M21" s="22">
        <f t="shared" si="2"/>
        <v>9.3495934959349603E-2</v>
      </c>
      <c r="N21" s="13">
        <f t="shared" si="3"/>
        <v>694</v>
      </c>
      <c r="O21" s="13">
        <f t="shared" si="4"/>
        <v>828</v>
      </c>
      <c r="P21" s="13">
        <f t="shared" si="5"/>
        <v>891</v>
      </c>
      <c r="Q21" s="15">
        <f t="shared" si="6"/>
        <v>7.6086956521739024E-2</v>
      </c>
    </row>
    <row r="22" spans="1:17" s="40" customFormat="1" ht="12" customHeight="1" x14ac:dyDescent="0.2">
      <c r="A22" s="25" t="s">
        <v>70</v>
      </c>
      <c r="B22" s="26">
        <v>0</v>
      </c>
      <c r="C22" s="26">
        <v>3</v>
      </c>
      <c r="D22" s="26">
        <v>3</v>
      </c>
      <c r="E22" s="22">
        <f t="shared" si="0"/>
        <v>0</v>
      </c>
      <c r="F22" s="26">
        <v>10</v>
      </c>
      <c r="G22" s="26">
        <v>10</v>
      </c>
      <c r="H22" s="26">
        <v>13</v>
      </c>
      <c r="I22" s="15">
        <f t="shared" si="1"/>
        <v>0.30000000000000004</v>
      </c>
      <c r="J22" s="26">
        <v>232</v>
      </c>
      <c r="K22" s="26">
        <v>303</v>
      </c>
      <c r="L22" s="26">
        <v>310</v>
      </c>
      <c r="M22" s="22">
        <f t="shared" si="2"/>
        <v>2.3102310231023049E-2</v>
      </c>
      <c r="N22" s="13">
        <f t="shared" si="3"/>
        <v>242</v>
      </c>
      <c r="O22" s="13">
        <f t="shared" si="4"/>
        <v>316</v>
      </c>
      <c r="P22" s="13">
        <f t="shared" si="5"/>
        <v>326</v>
      </c>
      <c r="Q22" s="15">
        <f t="shared" si="6"/>
        <v>3.1645569620253111E-2</v>
      </c>
    </row>
    <row r="23" spans="1:17" s="40" customFormat="1" ht="12" customHeight="1" thickBot="1" x14ac:dyDescent="0.25">
      <c r="A23" s="27" t="s">
        <v>0</v>
      </c>
      <c r="B23" s="23">
        <f t="shared" ref="B23" si="7">SUM(B5:B22)</f>
        <v>403</v>
      </c>
      <c r="C23" s="16">
        <f t="shared" ref="C23" si="8">SUM(C5:C22)</f>
        <v>428</v>
      </c>
      <c r="D23" s="16">
        <f t="shared" ref="D23" si="9">SUM(D5:D22)</f>
        <v>431</v>
      </c>
      <c r="E23" s="24">
        <f>D23/C23-1</f>
        <v>7.0093457943924964E-3</v>
      </c>
      <c r="F23" s="16">
        <f t="shared" ref="F23" si="10">SUM(F5:F22)</f>
        <v>1515</v>
      </c>
      <c r="G23" s="16">
        <f t="shared" ref="G23" si="11">SUM(G5:G22)</f>
        <v>1784</v>
      </c>
      <c r="H23" s="16">
        <f t="shared" ref="H23" si="12">SUM(H5:H22)</f>
        <v>1775</v>
      </c>
      <c r="I23" s="17">
        <f>H23/G23-1</f>
        <v>-5.0448430493273966E-3</v>
      </c>
      <c r="J23" s="23">
        <f t="shared" ref="J23" si="13">SUM(J5:J22)</f>
        <v>28876</v>
      </c>
      <c r="K23" s="16">
        <f t="shared" ref="K23" si="14">SUM(K5:K22)</f>
        <v>29024</v>
      </c>
      <c r="L23" s="16">
        <f t="shared" ref="L23" si="15">SUM(L5:L22)</f>
        <v>30263</v>
      </c>
      <c r="M23" s="24">
        <f>L23/K23-1</f>
        <v>4.268880926130092E-2</v>
      </c>
      <c r="N23" s="16">
        <f t="shared" ref="N23:O23" si="16">SUM(N5:N22)</f>
        <v>30794</v>
      </c>
      <c r="O23" s="16">
        <f t="shared" si="16"/>
        <v>31236</v>
      </c>
      <c r="P23" s="16">
        <f>SUM(P5:P22)</f>
        <v>32469</v>
      </c>
      <c r="Q23" s="17">
        <f>P23/O23-1</f>
        <v>3.9473684210526327E-2</v>
      </c>
    </row>
    <row r="24" spans="1:17" s="40" customFormat="1" ht="12" customHeight="1" x14ac:dyDescent="0.2">
      <c r="A24" s="40" t="s">
        <v>338</v>
      </c>
    </row>
    <row r="25" spans="1:17" s="40" customFormat="1" ht="12" customHeight="1" x14ac:dyDescent="0.2"/>
    <row r="26" spans="1:17" s="40" customFormat="1" ht="12" customHeight="1" x14ac:dyDescent="0.2"/>
    <row r="27" spans="1:17" s="40" customFormat="1" ht="12" customHeight="1" x14ac:dyDescent="0.2"/>
    <row r="28" spans="1:17" s="40" customFormat="1" ht="12" customHeight="1" x14ac:dyDescent="0.2"/>
    <row r="29" spans="1:17" s="40" customFormat="1" ht="12" customHeight="1" x14ac:dyDescent="0.2"/>
    <row r="30" spans="1:17" ht="12" customHeight="1" x14ac:dyDescent="0.3"/>
    <row r="31" spans="1:17" ht="12" customHeight="1" x14ac:dyDescent="0.3"/>
    <row r="32" spans="1:17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2" orientation="portrait" r:id="rId1"/>
  <ignoredErrors>
    <ignoredError sqref="B23:D23 J23:L23 F23:H23" formulaRange="1"/>
    <ignoredError sqref="M23 I23 E23" formula="1" formulaRange="1"/>
  </ignoredError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1606-8FE6-4D41-BFCF-B452EC06CC1A}">
  <sheetPr codeName="Planilha62"/>
  <dimension ref="A1:Q33"/>
  <sheetViews>
    <sheetView showGridLines="0" zoomScale="120" zoomScaleNormal="120" workbookViewId="0">
      <selection activeCell="H1" sqref="H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223</v>
      </c>
      <c r="B1" s="29"/>
      <c r="C1" s="29"/>
      <c r="D1" s="29"/>
      <c r="E1" s="29"/>
      <c r="F1" s="29"/>
      <c r="G1" s="33"/>
    </row>
    <row r="2" spans="1:17" s="40" customFormat="1" ht="25.2" customHeight="1" thickBot="1" x14ac:dyDescent="0.25"/>
    <row r="3" spans="1:17" s="40" customFormat="1" ht="13.95" customHeight="1" x14ac:dyDescent="0.2">
      <c r="A3" s="213" t="s">
        <v>92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107" t="s">
        <v>94</v>
      </c>
      <c r="B5" s="26">
        <v>37</v>
      </c>
      <c r="C5" s="26">
        <v>32</v>
      </c>
      <c r="D5" s="26">
        <v>48</v>
      </c>
      <c r="E5" s="31">
        <f>D5/C5-1</f>
        <v>0.5</v>
      </c>
      <c r="F5" s="26">
        <v>182</v>
      </c>
      <c r="G5" s="26">
        <v>223</v>
      </c>
      <c r="H5" s="26">
        <v>247</v>
      </c>
      <c r="I5" s="15">
        <f>H5/G5-1</f>
        <v>0.10762331838565031</v>
      </c>
      <c r="J5" s="13">
        <v>9279</v>
      </c>
      <c r="K5" s="13">
        <v>8877</v>
      </c>
      <c r="L5" s="13">
        <v>9163</v>
      </c>
      <c r="M5" s="22">
        <f>L5/K5-1</f>
        <v>3.2218091697645557E-2</v>
      </c>
      <c r="N5" s="13">
        <f t="shared" ref="N5:P7" si="0">B5+F5+J5</f>
        <v>9498</v>
      </c>
      <c r="O5" s="13">
        <f t="shared" si="0"/>
        <v>9132</v>
      </c>
      <c r="P5" s="68">
        <f t="shared" si="0"/>
        <v>9458</v>
      </c>
      <c r="Q5" s="81">
        <f>P5/O5-1</f>
        <v>3.5698642137538261E-2</v>
      </c>
    </row>
    <row r="6" spans="1:17" s="40" customFormat="1" ht="12" customHeight="1" x14ac:dyDescent="0.2">
      <c r="A6" s="107" t="s">
        <v>93</v>
      </c>
      <c r="B6" s="26">
        <v>365</v>
      </c>
      <c r="C6" s="26">
        <v>395</v>
      </c>
      <c r="D6" s="26">
        <v>383</v>
      </c>
      <c r="E6" s="22">
        <f t="shared" ref="E6:E7" si="1">D6/C6-1</f>
        <v>-3.0379746835443089E-2</v>
      </c>
      <c r="F6" s="13">
        <v>1329</v>
      </c>
      <c r="G6" s="13">
        <v>1561</v>
      </c>
      <c r="H6" s="13">
        <v>1528</v>
      </c>
      <c r="I6" s="15">
        <f t="shared" ref="I6" si="2">H6/G6-1</f>
        <v>-2.1140294682895577E-2</v>
      </c>
      <c r="J6" s="13">
        <v>19582</v>
      </c>
      <c r="K6" s="13">
        <v>20143</v>
      </c>
      <c r="L6" s="13">
        <v>21089</v>
      </c>
      <c r="M6" s="22">
        <f t="shared" ref="M6:M7" si="3">L6/K6-1</f>
        <v>4.696420592761763E-2</v>
      </c>
      <c r="N6" s="13">
        <f t="shared" si="0"/>
        <v>21276</v>
      </c>
      <c r="O6" s="13">
        <f t="shared" si="0"/>
        <v>22099</v>
      </c>
      <c r="P6" s="13">
        <f t="shared" si="0"/>
        <v>23000</v>
      </c>
      <c r="Q6" s="15">
        <f t="shared" ref="Q6:Q7" si="4">P6/O6-1</f>
        <v>4.0771075614281171E-2</v>
      </c>
    </row>
    <row r="7" spans="1:17" s="40" customFormat="1" ht="12" customHeight="1" x14ac:dyDescent="0.2">
      <c r="A7" s="107" t="s">
        <v>70</v>
      </c>
      <c r="B7" s="26">
        <v>1</v>
      </c>
      <c r="C7" s="26">
        <v>1</v>
      </c>
      <c r="D7" s="26">
        <v>0</v>
      </c>
      <c r="E7" s="22">
        <f t="shared" si="1"/>
        <v>-1</v>
      </c>
      <c r="F7" s="26">
        <v>4</v>
      </c>
      <c r="G7" s="26">
        <v>0</v>
      </c>
      <c r="H7" s="26">
        <v>0</v>
      </c>
      <c r="I7" s="15" t="s">
        <v>62</v>
      </c>
      <c r="J7" s="26">
        <v>15</v>
      </c>
      <c r="K7" s="26">
        <v>4</v>
      </c>
      <c r="L7" s="26">
        <v>11</v>
      </c>
      <c r="M7" s="22">
        <f t="shared" si="3"/>
        <v>1.75</v>
      </c>
      <c r="N7" s="13">
        <f t="shared" si="0"/>
        <v>20</v>
      </c>
      <c r="O7" s="13">
        <f t="shared" si="0"/>
        <v>5</v>
      </c>
      <c r="P7" s="13">
        <f t="shared" si="0"/>
        <v>11</v>
      </c>
      <c r="Q7" s="15">
        <f t="shared" si="4"/>
        <v>1.2000000000000002</v>
      </c>
    </row>
    <row r="8" spans="1:17" s="40" customFormat="1" ht="12" customHeight="1" thickBot="1" x14ac:dyDescent="0.25">
      <c r="A8" s="27" t="s">
        <v>0</v>
      </c>
      <c r="B8" s="23">
        <f>SUM(B5:B7)</f>
        <v>403</v>
      </c>
      <c r="C8" s="16">
        <f t="shared" ref="C8:D8" si="5">SUM(C5:C7)</f>
        <v>428</v>
      </c>
      <c r="D8" s="16">
        <f t="shared" si="5"/>
        <v>431</v>
      </c>
      <c r="E8" s="24">
        <f>D8/C8-1</f>
        <v>7.0093457943924964E-3</v>
      </c>
      <c r="F8" s="16">
        <f t="shared" ref="F8:H8" si="6">SUM(F5:F7)</f>
        <v>1515</v>
      </c>
      <c r="G8" s="16">
        <f t="shared" si="6"/>
        <v>1784</v>
      </c>
      <c r="H8" s="16">
        <f t="shared" si="6"/>
        <v>1775</v>
      </c>
      <c r="I8" s="17">
        <f>H8/G8-1</f>
        <v>-5.0448430493273966E-3</v>
      </c>
      <c r="J8" s="23">
        <f t="shared" ref="J8:L8" si="7">SUM(J5:J7)</f>
        <v>28876</v>
      </c>
      <c r="K8" s="16">
        <f t="shared" si="7"/>
        <v>29024</v>
      </c>
      <c r="L8" s="16">
        <f t="shared" si="7"/>
        <v>30263</v>
      </c>
      <c r="M8" s="24">
        <f>L8/K8-1</f>
        <v>4.268880926130092E-2</v>
      </c>
      <c r="N8" s="16">
        <f t="shared" ref="N8:P8" si="8">SUM(N5:N7)</f>
        <v>30794</v>
      </c>
      <c r="O8" s="16">
        <f t="shared" si="8"/>
        <v>31236</v>
      </c>
      <c r="P8" s="16">
        <f t="shared" si="8"/>
        <v>32469</v>
      </c>
      <c r="Q8" s="17">
        <f>P8/O8-1</f>
        <v>3.9473684210526327E-2</v>
      </c>
    </row>
    <row r="9" spans="1:17" s="40" customFormat="1" ht="12" customHeight="1" x14ac:dyDescent="0.2">
      <c r="A9" s="40" t="s">
        <v>338</v>
      </c>
    </row>
    <row r="10" spans="1:17" s="40" customFormat="1" ht="12" customHeight="1" x14ac:dyDescent="0.2"/>
    <row r="11" spans="1:17" s="40" customFormat="1" ht="12" customHeight="1" x14ac:dyDescent="0.2"/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orientation="portrait" r:id="rId1"/>
  <ignoredErrors>
    <ignoredError sqref="B8:H8 N8:Q8" formulaRange="1"/>
    <ignoredError sqref="I8:M8" formula="1" formulaRange="1"/>
  </ignoredError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529A-BB5A-41BF-97CC-B88B2D777186}">
  <sheetPr codeName="Planilha63"/>
  <dimension ref="A1:Q33"/>
  <sheetViews>
    <sheetView showGridLines="0" zoomScale="120" zoomScaleNormal="120" workbookViewId="0">
      <selection activeCell="J1" sqref="J1"/>
    </sheetView>
  </sheetViews>
  <sheetFormatPr defaultColWidth="9.109375" defaultRowHeight="14.4" x14ac:dyDescent="0.3"/>
  <cols>
    <col min="1" max="1" width="19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217</v>
      </c>
      <c r="B1" s="29"/>
      <c r="C1" s="29"/>
      <c r="D1" s="29"/>
      <c r="E1" s="29"/>
      <c r="F1" s="29"/>
      <c r="G1" s="33"/>
      <c r="J1" s="26"/>
    </row>
    <row r="2" spans="1:17" s="40" customFormat="1" ht="25.2" customHeight="1" thickBot="1" x14ac:dyDescent="0.25"/>
    <row r="3" spans="1:17" s="40" customFormat="1" ht="13.95" customHeight="1" x14ac:dyDescent="0.2">
      <c r="A3" s="213" t="s">
        <v>158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287</v>
      </c>
      <c r="B5" s="26">
        <v>152</v>
      </c>
      <c r="C5" s="26">
        <v>184</v>
      </c>
      <c r="D5" s="26">
        <v>180</v>
      </c>
      <c r="E5" s="22">
        <f>D5/C5-1</f>
        <v>-2.1739130434782594E-2</v>
      </c>
      <c r="F5" s="26">
        <v>692</v>
      </c>
      <c r="G5" s="26">
        <v>867</v>
      </c>
      <c r="H5" s="26">
        <v>866</v>
      </c>
      <c r="I5" s="15">
        <f>H5/G5-1</f>
        <v>-1.1534025374856371E-3</v>
      </c>
      <c r="J5" s="13">
        <v>8787</v>
      </c>
      <c r="K5" s="13">
        <v>9784</v>
      </c>
      <c r="L5" s="13">
        <v>10173</v>
      </c>
      <c r="M5" s="22">
        <f>L5/K5-1</f>
        <v>3.9758789860997457E-2</v>
      </c>
      <c r="N5" s="68">
        <f t="shared" ref="N5:P9" si="0">B5+F5+J5</f>
        <v>9631</v>
      </c>
      <c r="O5" s="68">
        <f t="shared" si="0"/>
        <v>10835</v>
      </c>
      <c r="P5" s="68">
        <f t="shared" si="0"/>
        <v>11219</v>
      </c>
      <c r="Q5" s="81">
        <f>P5/O5-1</f>
        <v>3.5440701430549115E-2</v>
      </c>
    </row>
    <row r="6" spans="1:17" s="40" customFormat="1" ht="12" customHeight="1" x14ac:dyDescent="0.2">
      <c r="A6" s="25" t="s">
        <v>288</v>
      </c>
      <c r="B6" s="26">
        <v>176</v>
      </c>
      <c r="C6" s="26">
        <v>177</v>
      </c>
      <c r="D6" s="26">
        <v>174</v>
      </c>
      <c r="E6" s="22">
        <f t="shared" ref="E6:E8" si="1">D6/C6-1</f>
        <v>-1.6949152542372836E-2</v>
      </c>
      <c r="F6" s="26">
        <v>641</v>
      </c>
      <c r="G6" s="26">
        <v>669</v>
      </c>
      <c r="H6" s="26">
        <v>660</v>
      </c>
      <c r="I6" s="15">
        <f t="shared" ref="I6:I9" si="2">H6/G6-1</f>
        <v>-1.3452914798206317E-2</v>
      </c>
      <c r="J6" s="13">
        <v>17663</v>
      </c>
      <c r="K6" s="13">
        <v>16092</v>
      </c>
      <c r="L6" s="13">
        <v>16576</v>
      </c>
      <c r="M6" s="22">
        <f t="shared" ref="M6:M9" si="3">L6/K6-1</f>
        <v>3.0077056922694467E-2</v>
      </c>
      <c r="N6" s="13">
        <f t="shared" si="0"/>
        <v>18480</v>
      </c>
      <c r="O6" s="13">
        <f t="shared" si="0"/>
        <v>16938</v>
      </c>
      <c r="P6" s="13">
        <f t="shared" si="0"/>
        <v>17410</v>
      </c>
      <c r="Q6" s="15">
        <f t="shared" ref="Q6:Q9" si="4">P6/O6-1</f>
        <v>2.7866336049120255E-2</v>
      </c>
    </row>
    <row r="7" spans="1:17" s="40" customFormat="1" ht="12" customHeight="1" x14ac:dyDescent="0.2">
      <c r="A7" s="25" t="s">
        <v>289</v>
      </c>
      <c r="B7" s="26">
        <v>40</v>
      </c>
      <c r="C7" s="26">
        <v>40</v>
      </c>
      <c r="D7" s="26">
        <v>40</v>
      </c>
      <c r="E7" s="22">
        <f t="shared" si="1"/>
        <v>0</v>
      </c>
      <c r="F7" s="26">
        <v>132</v>
      </c>
      <c r="G7" s="26">
        <v>176</v>
      </c>
      <c r="H7" s="26">
        <v>174</v>
      </c>
      <c r="I7" s="15">
        <f t="shared" si="2"/>
        <v>-1.1363636363636354E-2</v>
      </c>
      <c r="J7" s="13">
        <v>1972</v>
      </c>
      <c r="K7" s="13">
        <v>2617</v>
      </c>
      <c r="L7" s="13">
        <v>2920</v>
      </c>
      <c r="M7" s="22">
        <f t="shared" si="3"/>
        <v>0.11578142911730982</v>
      </c>
      <c r="N7" s="13">
        <f t="shared" si="0"/>
        <v>2144</v>
      </c>
      <c r="O7" s="13">
        <f t="shared" si="0"/>
        <v>2833</v>
      </c>
      <c r="P7" s="13">
        <f t="shared" si="0"/>
        <v>3134</v>
      </c>
      <c r="Q7" s="15">
        <f t="shared" si="4"/>
        <v>0.10624779385810101</v>
      </c>
    </row>
    <row r="8" spans="1:17" s="40" customFormat="1" ht="12" customHeight="1" x14ac:dyDescent="0.2">
      <c r="A8" s="25" t="s">
        <v>290</v>
      </c>
      <c r="B8" s="26">
        <v>33</v>
      </c>
      <c r="C8" s="26">
        <v>27</v>
      </c>
      <c r="D8" s="26">
        <v>35</v>
      </c>
      <c r="E8" s="35">
        <f t="shared" si="1"/>
        <v>0.29629629629629628</v>
      </c>
      <c r="F8" s="26">
        <v>39</v>
      </c>
      <c r="G8" s="26">
        <v>57</v>
      </c>
      <c r="H8" s="26">
        <v>61</v>
      </c>
      <c r="I8" s="34">
        <f t="shared" si="2"/>
        <v>7.0175438596491224E-2</v>
      </c>
      <c r="J8" s="26">
        <v>178</v>
      </c>
      <c r="K8" s="26">
        <v>255</v>
      </c>
      <c r="L8" s="26">
        <v>237</v>
      </c>
      <c r="M8" s="22">
        <f t="shared" si="3"/>
        <v>-7.0588235294117618E-2</v>
      </c>
      <c r="N8" s="13">
        <f t="shared" si="0"/>
        <v>250</v>
      </c>
      <c r="O8" s="13">
        <f t="shared" si="0"/>
        <v>339</v>
      </c>
      <c r="P8" s="13">
        <f t="shared" si="0"/>
        <v>333</v>
      </c>
      <c r="Q8" s="15">
        <f t="shared" si="4"/>
        <v>-1.7699115044247815E-2</v>
      </c>
    </row>
    <row r="9" spans="1:17" s="40" customFormat="1" ht="12" customHeight="1" x14ac:dyDescent="0.2">
      <c r="A9" s="25" t="s">
        <v>70</v>
      </c>
      <c r="B9" s="26">
        <v>2</v>
      </c>
      <c r="C9" s="26">
        <v>0</v>
      </c>
      <c r="D9" s="26">
        <v>2</v>
      </c>
      <c r="E9" s="34" t="s">
        <v>62</v>
      </c>
      <c r="F9" s="26">
        <v>11</v>
      </c>
      <c r="G9" s="26">
        <v>15</v>
      </c>
      <c r="H9" s="26">
        <v>14</v>
      </c>
      <c r="I9" s="34">
        <f t="shared" si="2"/>
        <v>-6.6666666666666652E-2</v>
      </c>
      <c r="J9" s="26">
        <v>276</v>
      </c>
      <c r="K9" s="26">
        <v>276</v>
      </c>
      <c r="L9" s="26">
        <v>357</v>
      </c>
      <c r="M9" s="22">
        <f t="shared" si="3"/>
        <v>0.29347826086956519</v>
      </c>
      <c r="N9" s="13">
        <f t="shared" si="0"/>
        <v>289</v>
      </c>
      <c r="O9" s="13">
        <f t="shared" si="0"/>
        <v>291</v>
      </c>
      <c r="P9" s="13">
        <f t="shared" si="0"/>
        <v>373</v>
      </c>
      <c r="Q9" s="15">
        <f t="shared" si="4"/>
        <v>0.28178694158075612</v>
      </c>
    </row>
    <row r="10" spans="1:17" s="40" customFormat="1" ht="12" customHeight="1" thickBot="1" x14ac:dyDescent="0.25">
      <c r="A10" s="27" t="s">
        <v>0</v>
      </c>
      <c r="B10" s="23">
        <f>SUM(B5:B9)</f>
        <v>403</v>
      </c>
      <c r="C10" s="16">
        <f t="shared" ref="C10:D10" si="5">SUM(C5:C9)</f>
        <v>428</v>
      </c>
      <c r="D10" s="16">
        <f t="shared" si="5"/>
        <v>431</v>
      </c>
      <c r="E10" s="24">
        <f>D10/C10-1</f>
        <v>7.0093457943924964E-3</v>
      </c>
      <c r="F10" s="16">
        <f t="shared" ref="F10:H10" si="6">SUM(F5:F9)</f>
        <v>1515</v>
      </c>
      <c r="G10" s="16">
        <f t="shared" si="6"/>
        <v>1784</v>
      </c>
      <c r="H10" s="16">
        <f t="shared" si="6"/>
        <v>1775</v>
      </c>
      <c r="I10" s="17">
        <f>H10/G10-1</f>
        <v>-5.0448430493273966E-3</v>
      </c>
      <c r="J10" s="23">
        <f t="shared" ref="J10:L10" si="7">SUM(J5:J9)</f>
        <v>28876</v>
      </c>
      <c r="K10" s="16">
        <f t="shared" si="7"/>
        <v>29024</v>
      </c>
      <c r="L10" s="16">
        <f t="shared" si="7"/>
        <v>30263</v>
      </c>
      <c r="M10" s="24">
        <f>L10/K10-1</f>
        <v>4.268880926130092E-2</v>
      </c>
      <c r="N10" s="16">
        <f t="shared" ref="N10:P10" si="8">SUM(N5:N9)</f>
        <v>30794</v>
      </c>
      <c r="O10" s="16">
        <f t="shared" si="8"/>
        <v>31236</v>
      </c>
      <c r="P10" s="16">
        <f t="shared" si="8"/>
        <v>32469</v>
      </c>
      <c r="Q10" s="17">
        <f>P10/O10-1</f>
        <v>3.9473684210526327E-2</v>
      </c>
    </row>
    <row r="11" spans="1:17" s="40" customFormat="1" ht="12" customHeight="1" x14ac:dyDescent="0.2">
      <c r="A11" s="40" t="s">
        <v>338</v>
      </c>
    </row>
    <row r="12" spans="1:17" s="40" customFormat="1" ht="12" customHeight="1" x14ac:dyDescent="0.2"/>
    <row r="13" spans="1:17" s="40" customFormat="1" ht="12" customHeight="1" x14ac:dyDescent="0.2"/>
    <row r="14" spans="1:17" s="40" customFormat="1" ht="12" customHeight="1" x14ac:dyDescent="0.2"/>
    <row r="15" spans="1:17" s="40" customFormat="1" ht="12" customHeight="1" x14ac:dyDescent="0.2"/>
    <row r="16" spans="1:17" s="40" customFormat="1" ht="12" customHeight="1" x14ac:dyDescent="0.2"/>
    <row r="17" s="40" customFormat="1" ht="12" customHeight="1" x14ac:dyDescent="0.2"/>
    <row r="18" s="40" customFormat="1" ht="12" customHeight="1" x14ac:dyDescent="0.2"/>
    <row r="19" s="40" customFormat="1" ht="12" customHeight="1" x14ac:dyDescent="0.2"/>
    <row r="20" s="40" customFormat="1" ht="12" customHeight="1" x14ac:dyDescent="0.2"/>
    <row r="21" s="40" customFormat="1" ht="12" customHeight="1" x14ac:dyDescent="0.2"/>
    <row r="22" s="40" customFormat="1" ht="12" customHeight="1" x14ac:dyDescent="0.2"/>
    <row r="23" s="40" customFormat="1" ht="12" customHeight="1" x14ac:dyDescent="0.2"/>
    <row r="24" s="40" customFormat="1" ht="12" customHeight="1" x14ac:dyDescent="0.2"/>
    <row r="25" s="40" customFormat="1" ht="12" customHeight="1" x14ac:dyDescent="0.2"/>
    <row r="26" s="40" customFormat="1" ht="12" customHeight="1" x14ac:dyDescent="0.2"/>
    <row r="27" s="40" customFormat="1" ht="12" customHeight="1" x14ac:dyDescent="0.2"/>
    <row r="28" s="40" customFormat="1" ht="12" customHeight="1" x14ac:dyDescent="0.2"/>
    <row r="29" s="40" customFormat="1" ht="12" customHeight="1" x14ac:dyDescent="0.2"/>
    <row r="30" ht="12" customHeight="1" x14ac:dyDescent="0.3"/>
    <row r="31" ht="12" customHeight="1" x14ac:dyDescent="0.3"/>
    <row r="32" ht="12" customHeight="1" x14ac:dyDescent="0.3"/>
    <row r="33" ht="12" customHeight="1" x14ac:dyDescent="0.3"/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  <pageSetup paperSize="9" scale="85" orientation="portrait" r:id="rId1"/>
  <ignoredErrors>
    <ignoredError sqref="B10:H10 N10:Q10" formulaRange="1"/>
    <ignoredError sqref="I10:M10" formula="1" formulaRange="1"/>
  </ignoredError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DB23-77CC-4F18-9A50-82853D60236E}">
  <sheetPr codeName="Planilha64"/>
  <dimension ref="A1:AA34"/>
  <sheetViews>
    <sheetView showGridLines="0" zoomScale="120" zoomScaleNormal="120" workbookViewId="0">
      <selection activeCell="I1" sqref="I1"/>
    </sheetView>
  </sheetViews>
  <sheetFormatPr defaultColWidth="9.109375" defaultRowHeight="14.4" x14ac:dyDescent="0.3"/>
  <cols>
    <col min="1" max="1" width="15.6640625" style="37" customWidth="1"/>
    <col min="2" max="17" width="7.6640625" style="37" customWidth="1"/>
    <col min="18" max="24" width="5.6640625" style="37" customWidth="1"/>
    <col min="25" max="16384" width="9.109375" style="37"/>
  </cols>
  <sheetData>
    <row r="1" spans="1:17" ht="19.95" customHeight="1" x14ac:dyDescent="0.3">
      <c r="A1" s="1" t="s">
        <v>218</v>
      </c>
      <c r="B1" s="110"/>
      <c r="C1" s="110"/>
      <c r="D1" s="110"/>
      <c r="E1" s="110"/>
      <c r="F1" s="110"/>
    </row>
    <row r="2" spans="1:17" s="40" customFormat="1" ht="25.2" customHeight="1" thickBot="1" x14ac:dyDescent="0.25"/>
    <row r="3" spans="1:17" s="40" customFormat="1" ht="13.95" customHeight="1" x14ac:dyDescent="0.2">
      <c r="A3" s="213" t="s">
        <v>95</v>
      </c>
      <c r="B3" s="215" t="s">
        <v>50</v>
      </c>
      <c r="C3" s="216"/>
      <c r="D3" s="216"/>
      <c r="E3" s="217"/>
      <c r="F3" s="216" t="s">
        <v>51</v>
      </c>
      <c r="G3" s="216"/>
      <c r="H3" s="216"/>
      <c r="I3" s="216"/>
      <c r="J3" s="215" t="s">
        <v>52</v>
      </c>
      <c r="K3" s="216"/>
      <c r="L3" s="216"/>
      <c r="M3" s="217"/>
      <c r="N3" s="216" t="s">
        <v>163</v>
      </c>
      <c r="O3" s="216"/>
      <c r="P3" s="216"/>
      <c r="Q3" s="217"/>
    </row>
    <row r="4" spans="1:17" s="40" customFormat="1" ht="24.9" customHeight="1" x14ac:dyDescent="0.2">
      <c r="A4" s="214"/>
      <c r="B4" s="141">
        <v>2019</v>
      </c>
      <c r="C4" s="142">
        <v>2023</v>
      </c>
      <c r="D4" s="142">
        <v>2024</v>
      </c>
      <c r="E4" s="143" t="s">
        <v>352</v>
      </c>
      <c r="F4" s="141">
        <v>2019</v>
      </c>
      <c r="G4" s="142">
        <v>2023</v>
      </c>
      <c r="H4" s="142">
        <v>2024</v>
      </c>
      <c r="I4" s="143" t="s">
        <v>352</v>
      </c>
      <c r="J4" s="141">
        <v>2019</v>
      </c>
      <c r="K4" s="142">
        <v>2023</v>
      </c>
      <c r="L4" s="142">
        <v>2024</v>
      </c>
      <c r="M4" s="143" t="s">
        <v>352</v>
      </c>
      <c r="N4" s="141">
        <v>2019</v>
      </c>
      <c r="O4" s="142">
        <v>2023</v>
      </c>
      <c r="P4" s="142">
        <v>2024</v>
      </c>
      <c r="Q4" s="143" t="s">
        <v>352</v>
      </c>
    </row>
    <row r="5" spans="1:17" s="40" customFormat="1" ht="12" customHeight="1" x14ac:dyDescent="0.2">
      <c r="A5" s="25" t="s">
        <v>366</v>
      </c>
      <c r="B5" s="26">
        <v>1</v>
      </c>
      <c r="C5" s="26">
        <v>2</v>
      </c>
      <c r="D5" s="26">
        <v>1</v>
      </c>
      <c r="E5" s="22">
        <f t="shared" ref="E5:E19" si="0">D5/C5-1</f>
        <v>-0.5</v>
      </c>
      <c r="F5" s="26">
        <v>9</v>
      </c>
      <c r="G5" s="26">
        <v>17</v>
      </c>
      <c r="H5" s="26">
        <v>4</v>
      </c>
      <c r="I5" s="15">
        <f t="shared" ref="I5:I19" si="1">H5/G5-1</f>
        <v>-0.76470588235294112</v>
      </c>
      <c r="J5" s="26">
        <v>144</v>
      </c>
      <c r="K5" s="26">
        <v>182</v>
      </c>
      <c r="L5" s="26">
        <v>176</v>
      </c>
      <c r="M5" s="22">
        <f t="shared" ref="M5:M20" si="2">L5/K5-1</f>
        <v>-3.2967032967032961E-2</v>
      </c>
      <c r="N5" s="13">
        <f t="shared" ref="N5:N20" si="3">B5+F5+J5</f>
        <v>154</v>
      </c>
      <c r="O5" s="68">
        <f t="shared" ref="O5:O20" si="4">C5+G5+K5</f>
        <v>201</v>
      </c>
      <c r="P5" s="68">
        <f t="shared" ref="P5:P20" si="5">D5+H5+L5</f>
        <v>181</v>
      </c>
      <c r="Q5" s="81">
        <f t="shared" ref="Q5:Q20" si="6">P5/O5-1</f>
        <v>-9.9502487562189046E-2</v>
      </c>
    </row>
    <row r="6" spans="1:17" s="40" customFormat="1" ht="12" customHeight="1" x14ac:dyDescent="0.2">
      <c r="A6" s="25" t="s">
        <v>252</v>
      </c>
      <c r="B6" s="26">
        <v>13</v>
      </c>
      <c r="C6" s="26">
        <v>19</v>
      </c>
      <c r="D6" s="26">
        <v>20</v>
      </c>
      <c r="E6" s="22">
        <f t="shared" si="0"/>
        <v>5.2631578947368363E-2</v>
      </c>
      <c r="F6" s="26">
        <v>66</v>
      </c>
      <c r="G6" s="26">
        <v>119</v>
      </c>
      <c r="H6" s="26">
        <v>121</v>
      </c>
      <c r="I6" s="15">
        <f t="shared" si="1"/>
        <v>1.6806722689075571E-2</v>
      </c>
      <c r="J6" s="13">
        <v>1759</v>
      </c>
      <c r="K6" s="13">
        <v>1969</v>
      </c>
      <c r="L6" s="13">
        <v>2156</v>
      </c>
      <c r="M6" s="22">
        <f t="shared" si="2"/>
        <v>9.4972067039106101E-2</v>
      </c>
      <c r="N6" s="13">
        <f t="shared" si="3"/>
        <v>1838</v>
      </c>
      <c r="O6" s="13">
        <f t="shared" si="4"/>
        <v>2107</v>
      </c>
      <c r="P6" s="13">
        <f t="shared" si="5"/>
        <v>2297</v>
      </c>
      <c r="Q6" s="15">
        <f t="shared" si="6"/>
        <v>9.0175605125771163E-2</v>
      </c>
    </row>
    <row r="7" spans="1:17" s="40" customFormat="1" ht="12" customHeight="1" x14ac:dyDescent="0.2">
      <c r="A7" s="25" t="s">
        <v>253</v>
      </c>
      <c r="B7" s="26">
        <v>40</v>
      </c>
      <c r="C7" s="26">
        <v>34</v>
      </c>
      <c r="D7" s="26">
        <v>45</v>
      </c>
      <c r="E7" s="22">
        <f t="shared" si="0"/>
        <v>0.32352941176470584</v>
      </c>
      <c r="F7" s="26">
        <v>138</v>
      </c>
      <c r="G7" s="26">
        <v>192</v>
      </c>
      <c r="H7" s="26">
        <v>180</v>
      </c>
      <c r="I7" s="15">
        <f t="shared" si="1"/>
        <v>-6.25E-2</v>
      </c>
      <c r="J7" s="13">
        <v>3459</v>
      </c>
      <c r="K7" s="13">
        <v>3346</v>
      </c>
      <c r="L7" s="13">
        <v>3552</v>
      </c>
      <c r="M7" s="22">
        <f t="shared" si="2"/>
        <v>6.1566049013747737E-2</v>
      </c>
      <c r="N7" s="13">
        <f t="shared" si="3"/>
        <v>3637</v>
      </c>
      <c r="O7" s="13">
        <f t="shared" si="4"/>
        <v>3572</v>
      </c>
      <c r="P7" s="13">
        <f t="shared" si="5"/>
        <v>3777</v>
      </c>
      <c r="Q7" s="15">
        <f t="shared" si="6"/>
        <v>5.7390817469204825E-2</v>
      </c>
    </row>
    <row r="8" spans="1:17" s="40" customFormat="1" ht="12" customHeight="1" x14ac:dyDescent="0.2">
      <c r="A8" s="25" t="s">
        <v>254</v>
      </c>
      <c r="B8" s="26">
        <v>35</v>
      </c>
      <c r="C8" s="26">
        <v>38</v>
      </c>
      <c r="D8" s="26">
        <v>42</v>
      </c>
      <c r="E8" s="22">
        <f t="shared" si="0"/>
        <v>0.10526315789473695</v>
      </c>
      <c r="F8" s="26">
        <v>169</v>
      </c>
      <c r="G8" s="26">
        <v>185</v>
      </c>
      <c r="H8" s="26">
        <v>182</v>
      </c>
      <c r="I8" s="15">
        <f t="shared" si="1"/>
        <v>-1.6216216216216162E-2</v>
      </c>
      <c r="J8" s="13">
        <v>3073</v>
      </c>
      <c r="K8" s="13">
        <v>3220</v>
      </c>
      <c r="L8" s="13">
        <v>3463</v>
      </c>
      <c r="M8" s="22">
        <f t="shared" si="2"/>
        <v>7.5465838509316763E-2</v>
      </c>
      <c r="N8" s="13">
        <f t="shared" si="3"/>
        <v>3277</v>
      </c>
      <c r="O8" s="13">
        <f t="shared" si="4"/>
        <v>3443</v>
      </c>
      <c r="P8" s="13">
        <f t="shared" si="5"/>
        <v>3687</v>
      </c>
      <c r="Q8" s="15">
        <f t="shared" si="6"/>
        <v>7.0868428695904706E-2</v>
      </c>
    </row>
    <row r="9" spans="1:17" s="40" customFormat="1" ht="12" customHeight="1" x14ac:dyDescent="0.2">
      <c r="A9" s="25" t="s">
        <v>255</v>
      </c>
      <c r="B9" s="26">
        <v>30</v>
      </c>
      <c r="C9" s="26">
        <v>27</v>
      </c>
      <c r="D9" s="26">
        <v>32</v>
      </c>
      <c r="E9" s="22">
        <f t="shared" si="0"/>
        <v>0.18518518518518512</v>
      </c>
      <c r="F9" s="26">
        <v>155</v>
      </c>
      <c r="G9" s="26">
        <v>161</v>
      </c>
      <c r="H9" s="26">
        <v>190</v>
      </c>
      <c r="I9" s="15">
        <f t="shared" si="1"/>
        <v>0.18012422360248448</v>
      </c>
      <c r="J9" s="13">
        <v>2789</v>
      </c>
      <c r="K9" s="13">
        <v>2736</v>
      </c>
      <c r="L9" s="13">
        <v>2973</v>
      </c>
      <c r="M9" s="22">
        <f t="shared" si="2"/>
        <v>8.6622807017543879E-2</v>
      </c>
      <c r="N9" s="13">
        <f t="shared" si="3"/>
        <v>2974</v>
      </c>
      <c r="O9" s="13">
        <f t="shared" si="4"/>
        <v>2924</v>
      </c>
      <c r="P9" s="13">
        <f t="shared" si="5"/>
        <v>3195</v>
      </c>
      <c r="Q9" s="15">
        <f t="shared" si="6"/>
        <v>9.26812585499317E-2</v>
      </c>
    </row>
    <row r="10" spans="1:17" s="40" customFormat="1" ht="12" customHeight="1" x14ac:dyDescent="0.2">
      <c r="A10" s="25" t="s">
        <v>256</v>
      </c>
      <c r="B10" s="26">
        <v>41</v>
      </c>
      <c r="C10" s="26">
        <v>40</v>
      </c>
      <c r="D10" s="26">
        <v>31</v>
      </c>
      <c r="E10" s="22">
        <f t="shared" si="0"/>
        <v>-0.22499999999999998</v>
      </c>
      <c r="F10" s="26">
        <v>163</v>
      </c>
      <c r="G10" s="26">
        <v>147</v>
      </c>
      <c r="H10" s="26">
        <v>156</v>
      </c>
      <c r="I10" s="15">
        <f t="shared" si="1"/>
        <v>6.1224489795918435E-2</v>
      </c>
      <c r="J10" s="13">
        <v>2662</v>
      </c>
      <c r="K10" s="13">
        <v>2552</v>
      </c>
      <c r="L10" s="13">
        <v>2508</v>
      </c>
      <c r="M10" s="22">
        <f t="shared" si="2"/>
        <v>-1.7241379310344862E-2</v>
      </c>
      <c r="N10" s="13">
        <f t="shared" si="3"/>
        <v>2866</v>
      </c>
      <c r="O10" s="13">
        <f t="shared" si="4"/>
        <v>2739</v>
      </c>
      <c r="P10" s="13">
        <f t="shared" si="5"/>
        <v>2695</v>
      </c>
      <c r="Q10" s="15">
        <f t="shared" si="6"/>
        <v>-1.6064257028112428E-2</v>
      </c>
    </row>
    <row r="11" spans="1:17" s="40" customFormat="1" ht="12" customHeight="1" x14ac:dyDescent="0.2">
      <c r="A11" s="25" t="s">
        <v>257</v>
      </c>
      <c r="B11" s="26">
        <v>37</v>
      </c>
      <c r="C11" s="26">
        <v>36</v>
      </c>
      <c r="D11" s="26">
        <v>38</v>
      </c>
      <c r="E11" s="22">
        <f t="shared" si="0"/>
        <v>5.555555555555558E-2</v>
      </c>
      <c r="F11" s="26">
        <v>160</v>
      </c>
      <c r="G11" s="26">
        <v>160</v>
      </c>
      <c r="H11" s="26">
        <v>153</v>
      </c>
      <c r="I11" s="15">
        <f t="shared" si="1"/>
        <v>-4.3749999999999956E-2</v>
      </c>
      <c r="J11" s="13">
        <v>2843</v>
      </c>
      <c r="K11" s="13">
        <v>2512</v>
      </c>
      <c r="L11" s="13">
        <v>2548</v>
      </c>
      <c r="M11" s="22">
        <f t="shared" si="2"/>
        <v>1.4331210191082855E-2</v>
      </c>
      <c r="N11" s="13">
        <f t="shared" si="3"/>
        <v>3040</v>
      </c>
      <c r="O11" s="13">
        <f t="shared" si="4"/>
        <v>2708</v>
      </c>
      <c r="P11" s="13">
        <f t="shared" si="5"/>
        <v>2739</v>
      </c>
      <c r="Q11" s="15">
        <f t="shared" si="6"/>
        <v>1.1447562776957243E-2</v>
      </c>
    </row>
    <row r="12" spans="1:17" s="40" customFormat="1" ht="12" customHeight="1" x14ac:dyDescent="0.2">
      <c r="A12" s="25" t="s">
        <v>258</v>
      </c>
      <c r="B12" s="26">
        <v>37</v>
      </c>
      <c r="C12" s="26">
        <v>37</v>
      </c>
      <c r="D12" s="26">
        <v>44</v>
      </c>
      <c r="E12" s="22">
        <f t="shared" si="0"/>
        <v>0.18918918918918926</v>
      </c>
      <c r="F12" s="26">
        <v>122</v>
      </c>
      <c r="G12" s="26">
        <v>183</v>
      </c>
      <c r="H12" s="26">
        <v>169</v>
      </c>
      <c r="I12" s="15">
        <f t="shared" si="1"/>
        <v>-7.6502732240437132E-2</v>
      </c>
      <c r="J12" s="13">
        <v>2612</v>
      </c>
      <c r="K12" s="13">
        <v>2623</v>
      </c>
      <c r="L12" s="13">
        <v>2626</v>
      </c>
      <c r="M12" s="22">
        <f t="shared" si="2"/>
        <v>1.1437285550894849E-3</v>
      </c>
      <c r="N12" s="13">
        <f t="shared" si="3"/>
        <v>2771</v>
      </c>
      <c r="O12" s="13">
        <f t="shared" si="4"/>
        <v>2843</v>
      </c>
      <c r="P12" s="13">
        <f t="shared" si="5"/>
        <v>2839</v>
      </c>
      <c r="Q12" s="15">
        <f t="shared" si="6"/>
        <v>-1.40696447414701E-3</v>
      </c>
    </row>
    <row r="13" spans="1:17" s="40" customFormat="1" ht="12" customHeight="1" x14ac:dyDescent="0.2">
      <c r="A13" s="25" t="s">
        <v>259</v>
      </c>
      <c r="B13" s="26">
        <v>26</v>
      </c>
      <c r="C13" s="26">
        <v>38</v>
      </c>
      <c r="D13" s="26">
        <v>24</v>
      </c>
      <c r="E13" s="22">
        <f t="shared" si="0"/>
        <v>-0.36842105263157898</v>
      </c>
      <c r="F13" s="26">
        <v>109</v>
      </c>
      <c r="G13" s="26">
        <v>138</v>
      </c>
      <c r="H13" s="26">
        <v>158</v>
      </c>
      <c r="I13" s="15">
        <f t="shared" si="1"/>
        <v>0.14492753623188404</v>
      </c>
      <c r="J13" s="13">
        <v>2234</v>
      </c>
      <c r="K13" s="13">
        <v>2321</v>
      </c>
      <c r="L13" s="13">
        <v>2371</v>
      </c>
      <c r="M13" s="22">
        <f t="shared" si="2"/>
        <v>2.1542438604049918E-2</v>
      </c>
      <c r="N13" s="13">
        <f t="shared" si="3"/>
        <v>2369</v>
      </c>
      <c r="O13" s="13">
        <f t="shared" si="4"/>
        <v>2497</v>
      </c>
      <c r="P13" s="13">
        <f t="shared" si="5"/>
        <v>2553</v>
      </c>
      <c r="Q13" s="15">
        <f t="shared" si="6"/>
        <v>2.2426912294753798E-2</v>
      </c>
    </row>
    <row r="14" spans="1:17" s="40" customFormat="1" ht="12" customHeight="1" x14ac:dyDescent="0.2">
      <c r="A14" s="25" t="s">
        <v>260</v>
      </c>
      <c r="B14" s="26">
        <v>20</v>
      </c>
      <c r="C14" s="26">
        <v>27</v>
      </c>
      <c r="D14" s="26">
        <v>30</v>
      </c>
      <c r="E14" s="22">
        <f t="shared" si="0"/>
        <v>0.11111111111111116</v>
      </c>
      <c r="F14" s="26">
        <v>99</v>
      </c>
      <c r="G14" s="26">
        <v>131</v>
      </c>
      <c r="H14" s="26">
        <v>120</v>
      </c>
      <c r="I14" s="15">
        <f t="shared" si="1"/>
        <v>-8.3969465648854991E-2</v>
      </c>
      <c r="J14" s="13">
        <v>2021</v>
      </c>
      <c r="K14" s="13">
        <v>1901</v>
      </c>
      <c r="L14" s="13">
        <v>2043</v>
      </c>
      <c r="M14" s="22">
        <f t="shared" si="2"/>
        <v>7.4697527617043624E-2</v>
      </c>
      <c r="N14" s="13">
        <f t="shared" si="3"/>
        <v>2140</v>
      </c>
      <c r="O14" s="13">
        <f t="shared" si="4"/>
        <v>2059</v>
      </c>
      <c r="P14" s="13">
        <f t="shared" si="5"/>
        <v>2193</v>
      </c>
      <c r="Q14" s="15">
        <f t="shared" si="6"/>
        <v>6.5080135988343946E-2</v>
      </c>
    </row>
    <row r="15" spans="1:17" s="40" customFormat="1" ht="12" customHeight="1" x14ac:dyDescent="0.2">
      <c r="A15" s="25" t="s">
        <v>261</v>
      </c>
      <c r="B15" s="26">
        <v>21</v>
      </c>
      <c r="C15" s="26">
        <v>27</v>
      </c>
      <c r="D15" s="26">
        <v>24</v>
      </c>
      <c r="E15" s="22">
        <f t="shared" si="0"/>
        <v>-0.11111111111111116</v>
      </c>
      <c r="F15" s="26">
        <v>95</v>
      </c>
      <c r="G15" s="26">
        <v>112</v>
      </c>
      <c r="H15" s="26">
        <v>107</v>
      </c>
      <c r="I15" s="15">
        <f t="shared" si="1"/>
        <v>-4.4642857142857095E-2</v>
      </c>
      <c r="J15" s="13">
        <v>1564</v>
      </c>
      <c r="K15" s="13">
        <v>1702</v>
      </c>
      <c r="L15" s="13">
        <v>1789</v>
      </c>
      <c r="M15" s="22">
        <f t="shared" si="2"/>
        <v>5.1116333725029328E-2</v>
      </c>
      <c r="N15" s="13">
        <f t="shared" si="3"/>
        <v>1680</v>
      </c>
      <c r="O15" s="13">
        <f t="shared" si="4"/>
        <v>1841</v>
      </c>
      <c r="P15" s="13">
        <f t="shared" si="5"/>
        <v>1920</v>
      </c>
      <c r="Q15" s="15">
        <f t="shared" si="6"/>
        <v>4.2911461162411735E-2</v>
      </c>
    </row>
    <row r="16" spans="1:17" s="40" customFormat="1" ht="12" customHeight="1" x14ac:dyDescent="0.2">
      <c r="A16" s="25" t="s">
        <v>262</v>
      </c>
      <c r="B16" s="26">
        <v>28</v>
      </c>
      <c r="C16" s="26">
        <v>33</v>
      </c>
      <c r="D16" s="26">
        <v>29</v>
      </c>
      <c r="E16" s="22">
        <f t="shared" si="0"/>
        <v>-0.12121212121212122</v>
      </c>
      <c r="F16" s="26">
        <v>73</v>
      </c>
      <c r="G16" s="26">
        <v>86</v>
      </c>
      <c r="H16" s="26">
        <v>74</v>
      </c>
      <c r="I16" s="15">
        <f t="shared" si="1"/>
        <v>-0.13953488372093026</v>
      </c>
      <c r="J16" s="13">
        <v>1163</v>
      </c>
      <c r="K16" s="13">
        <v>1257</v>
      </c>
      <c r="L16" s="13">
        <v>1351</v>
      </c>
      <c r="M16" s="22">
        <f t="shared" si="2"/>
        <v>7.4781225139220364E-2</v>
      </c>
      <c r="N16" s="13">
        <f t="shared" si="3"/>
        <v>1264</v>
      </c>
      <c r="O16" s="13">
        <f t="shared" si="4"/>
        <v>1376</v>
      </c>
      <c r="P16" s="13">
        <f t="shared" si="5"/>
        <v>1454</v>
      </c>
      <c r="Q16" s="15">
        <f t="shared" si="6"/>
        <v>5.6686046511627897E-2</v>
      </c>
    </row>
    <row r="17" spans="1:27" s="40" customFormat="1" ht="12" customHeight="1" x14ac:dyDescent="0.2">
      <c r="A17" s="25" t="s">
        <v>263</v>
      </c>
      <c r="B17" s="26">
        <v>28</v>
      </c>
      <c r="C17" s="26">
        <v>18</v>
      </c>
      <c r="D17" s="26">
        <v>30</v>
      </c>
      <c r="E17" s="22">
        <f t="shared" si="0"/>
        <v>0.66666666666666674</v>
      </c>
      <c r="F17" s="26">
        <v>54</v>
      </c>
      <c r="G17" s="26">
        <v>55</v>
      </c>
      <c r="H17" s="26">
        <v>70</v>
      </c>
      <c r="I17" s="15">
        <f t="shared" si="1"/>
        <v>0.27272727272727271</v>
      </c>
      <c r="J17" s="26">
        <v>990</v>
      </c>
      <c r="K17" s="26">
        <v>1026</v>
      </c>
      <c r="L17" s="13">
        <v>1038</v>
      </c>
      <c r="M17" s="22">
        <f t="shared" si="2"/>
        <v>1.1695906432748648E-2</v>
      </c>
      <c r="N17" s="13">
        <f t="shared" si="3"/>
        <v>1072</v>
      </c>
      <c r="O17" s="13">
        <f t="shared" si="4"/>
        <v>1099</v>
      </c>
      <c r="P17" s="13">
        <f t="shared" si="5"/>
        <v>1138</v>
      </c>
      <c r="Q17" s="15">
        <f t="shared" si="6"/>
        <v>3.5486806187443154E-2</v>
      </c>
    </row>
    <row r="18" spans="1:27" s="40" customFormat="1" ht="12" customHeight="1" x14ac:dyDescent="0.2">
      <c r="A18" s="25" t="s">
        <v>356</v>
      </c>
      <c r="B18" s="26">
        <v>21</v>
      </c>
      <c r="C18" s="26">
        <v>21</v>
      </c>
      <c r="D18" s="26">
        <v>14</v>
      </c>
      <c r="E18" s="22">
        <f t="shared" si="0"/>
        <v>-0.33333333333333337</v>
      </c>
      <c r="F18" s="26">
        <v>43</v>
      </c>
      <c r="G18" s="26">
        <v>51</v>
      </c>
      <c r="H18" s="26">
        <v>43</v>
      </c>
      <c r="I18" s="15">
        <f t="shared" si="1"/>
        <v>-0.15686274509803921</v>
      </c>
      <c r="J18" s="13">
        <v>746</v>
      </c>
      <c r="K18" s="13">
        <v>808</v>
      </c>
      <c r="L18" s="13">
        <v>821</v>
      </c>
      <c r="M18" s="22">
        <f t="shared" si="2"/>
        <v>1.6089108910890992E-2</v>
      </c>
      <c r="N18" s="13">
        <f t="shared" si="3"/>
        <v>810</v>
      </c>
      <c r="O18" s="13">
        <f t="shared" si="4"/>
        <v>880</v>
      </c>
      <c r="P18" s="13">
        <f t="shared" si="5"/>
        <v>878</v>
      </c>
      <c r="Q18" s="15">
        <f t="shared" si="6"/>
        <v>-2.2727272727273151E-3</v>
      </c>
    </row>
    <row r="19" spans="1:27" s="40" customFormat="1" ht="12" customHeight="1" x14ac:dyDescent="0.2">
      <c r="A19" s="25" t="s">
        <v>367</v>
      </c>
      <c r="B19" s="26">
        <v>24</v>
      </c>
      <c r="C19" s="26">
        <v>31</v>
      </c>
      <c r="D19" s="26">
        <v>27</v>
      </c>
      <c r="E19" s="22">
        <f t="shared" si="0"/>
        <v>-0.12903225806451613</v>
      </c>
      <c r="F19" s="26">
        <v>54</v>
      </c>
      <c r="G19" s="26">
        <v>47</v>
      </c>
      <c r="H19" s="26">
        <v>48</v>
      </c>
      <c r="I19" s="15">
        <f t="shared" si="1"/>
        <v>2.1276595744680771E-2</v>
      </c>
      <c r="J19" s="13">
        <v>777</v>
      </c>
      <c r="K19" s="13">
        <v>866</v>
      </c>
      <c r="L19" s="13">
        <v>846</v>
      </c>
      <c r="M19" s="22">
        <f t="shared" si="2"/>
        <v>-2.3094688221709014E-2</v>
      </c>
      <c r="N19" s="13">
        <f t="shared" ref="N19" si="7">B19+F19+J19</f>
        <v>855</v>
      </c>
      <c r="O19" s="13">
        <f t="shared" ref="O19" si="8">C19+G19+K19</f>
        <v>944</v>
      </c>
      <c r="P19" s="13">
        <f t="shared" ref="P19" si="9">D19+H19+L19</f>
        <v>921</v>
      </c>
      <c r="Q19" s="15">
        <f t="shared" ref="Q19" si="10">P19/O19-1</f>
        <v>-2.4364406779661008E-2</v>
      </c>
    </row>
    <row r="20" spans="1:27" s="40" customFormat="1" ht="12" customHeight="1" x14ac:dyDescent="0.2">
      <c r="A20" s="25" t="s">
        <v>70</v>
      </c>
      <c r="B20" s="26">
        <v>1</v>
      </c>
      <c r="C20" s="26">
        <v>0</v>
      </c>
      <c r="D20" s="26">
        <v>0</v>
      </c>
      <c r="E20" s="22" t="s">
        <v>62</v>
      </c>
      <c r="F20" s="26">
        <v>6</v>
      </c>
      <c r="G20" s="26">
        <v>0</v>
      </c>
      <c r="H20" s="26">
        <v>0</v>
      </c>
      <c r="I20" s="15" t="s">
        <v>62</v>
      </c>
      <c r="J20" s="26">
        <v>40</v>
      </c>
      <c r="K20" s="26">
        <v>3</v>
      </c>
      <c r="L20" s="26">
        <v>2</v>
      </c>
      <c r="M20" s="22">
        <f t="shared" si="2"/>
        <v>-0.33333333333333337</v>
      </c>
      <c r="N20" s="13">
        <f t="shared" si="3"/>
        <v>47</v>
      </c>
      <c r="O20" s="13">
        <f t="shared" si="4"/>
        <v>3</v>
      </c>
      <c r="P20" s="13">
        <f t="shared" si="5"/>
        <v>2</v>
      </c>
      <c r="Q20" s="15">
        <f t="shared" si="6"/>
        <v>-0.33333333333333337</v>
      </c>
    </row>
    <row r="21" spans="1:27" s="40" customFormat="1" ht="12" customHeight="1" thickBot="1" x14ac:dyDescent="0.25">
      <c r="A21" s="27" t="s">
        <v>0</v>
      </c>
      <c r="B21" s="23">
        <f>SUM(B5:B20)</f>
        <v>403</v>
      </c>
      <c r="C21" s="16">
        <f t="shared" ref="C21:D21" si="11">SUM(C5:C20)</f>
        <v>428</v>
      </c>
      <c r="D21" s="16">
        <f t="shared" si="11"/>
        <v>431</v>
      </c>
      <c r="E21" s="24">
        <f>D21/C21-1</f>
        <v>7.0093457943924964E-3</v>
      </c>
      <c r="F21" s="16">
        <f t="shared" ref="F21:H21" si="12">SUM(F5:F20)</f>
        <v>1515</v>
      </c>
      <c r="G21" s="16">
        <f t="shared" si="12"/>
        <v>1784</v>
      </c>
      <c r="H21" s="16">
        <f t="shared" si="12"/>
        <v>1775</v>
      </c>
      <c r="I21" s="17">
        <f>H21/G21-1</f>
        <v>-5.0448430493273966E-3</v>
      </c>
      <c r="J21" s="23">
        <f t="shared" ref="J21:L21" si="13">SUM(J5:J20)</f>
        <v>28876</v>
      </c>
      <c r="K21" s="16">
        <f t="shared" si="13"/>
        <v>29024</v>
      </c>
      <c r="L21" s="16">
        <f t="shared" si="13"/>
        <v>30263</v>
      </c>
      <c r="M21" s="24">
        <f>L21/K21-1</f>
        <v>4.268880926130092E-2</v>
      </c>
      <c r="N21" s="16">
        <f t="shared" ref="N21:P21" si="14">SUM(N5:N20)</f>
        <v>30794</v>
      </c>
      <c r="O21" s="16">
        <f t="shared" si="14"/>
        <v>31236</v>
      </c>
      <c r="P21" s="16">
        <f t="shared" si="14"/>
        <v>32469</v>
      </c>
      <c r="Q21" s="17">
        <f>P21/O21-1</f>
        <v>3.9473684210526327E-2</v>
      </c>
    </row>
    <row r="22" spans="1:27" s="40" customFormat="1" ht="12" customHeight="1" x14ac:dyDescent="0.2">
      <c r="A22" s="40" t="s">
        <v>338</v>
      </c>
    </row>
    <row r="23" spans="1:27" s="40" customFormat="1" ht="12" customHeight="1" x14ac:dyDescent="0.2"/>
    <row r="24" spans="1:27" s="40" customFormat="1" ht="12" customHeight="1" x14ac:dyDescent="0.2"/>
    <row r="25" spans="1:27" s="40" customFormat="1" ht="12" customHeight="1" x14ac:dyDescent="0.2"/>
    <row r="26" spans="1:27" s="40" customFormat="1" ht="12" customHeight="1" x14ac:dyDescent="0.2"/>
    <row r="27" spans="1:27" s="40" customFormat="1" ht="12" customHeight="1" x14ac:dyDescent="0.2"/>
    <row r="28" spans="1:27" s="40" customFormat="1" ht="12" customHeight="1" x14ac:dyDescent="0.2"/>
    <row r="29" spans="1:27" s="40" customFormat="1" ht="12" customHeight="1" x14ac:dyDescent="0.2"/>
    <row r="30" spans="1:27" s="40" customFormat="1" ht="12" customHeight="1" x14ac:dyDescent="0.2"/>
    <row r="31" spans="1:27" ht="12" customHeight="1" x14ac:dyDescent="0.3"/>
    <row r="32" spans="1:27" ht="12" customHeight="1" x14ac:dyDescent="0.3">
      <c r="AA32" s="1"/>
    </row>
    <row r="33" ht="12" customHeight="1" x14ac:dyDescent="0.3"/>
    <row r="34" ht="12" customHeight="1" x14ac:dyDescent="0.3"/>
  </sheetData>
  <mergeCells count="5">
    <mergeCell ref="A3:A4"/>
    <mergeCell ref="B3:E3"/>
    <mergeCell ref="F3:I3"/>
    <mergeCell ref="J3:M3"/>
    <mergeCell ref="N3:Q3"/>
  </mergeCells>
  <phoneticPr fontId="19" type="noConversion"/>
  <pageMargins left="0.7" right="0.7" top="0.75" bottom="0.75" header="0.3" footer="0.3"/>
  <pageSetup paperSize="9" scale="95" orientation="portrait" r:id="rId1"/>
  <ignoredErrors>
    <ignoredError sqref="B21:H21 N21:Q21" formulaRange="1"/>
    <ignoredError sqref="I21:M21" formula="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092E1673DA0E4095CB54B370D17A7B" ma:contentTypeVersion="2" ma:contentTypeDescription="Create a new document." ma:contentTypeScope="" ma:versionID="197e4e0c1a2cf5360ed3a41b543a687c">
  <xsd:schema xmlns:xsd="http://www.w3.org/2001/XMLSchema" xmlns:xs="http://www.w3.org/2001/XMLSchema" xmlns:p="http://schemas.microsoft.com/office/2006/metadata/properties" xmlns:ns1="http://schemas.microsoft.com/sharepoint/v3" xmlns:ns2="c9ec503d-6f82-4f91-9403-97106548e09a" targetNamespace="http://schemas.microsoft.com/office/2006/metadata/properties" ma:root="true" ma:fieldsID="dfbbe114dea3b11ee565725848c4e587" ns1:_="" ns2:_="">
    <xsd:import namespace="http://schemas.microsoft.com/sharepoint/v3"/>
    <xsd:import namespace="c9ec503d-6f82-4f91-9403-97106548e09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Ord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c503d-6f82-4f91-9403-97106548e09a" elementFormDefault="qualified">
    <xsd:import namespace="http://schemas.microsoft.com/office/2006/documentManagement/types"/>
    <xsd:import namespace="http://schemas.microsoft.com/office/infopath/2007/PartnerControls"/>
    <xsd:element name="Ordem" ma:index="10" nillable="true" ma:displayName="Ordem" ma:internalName="Ordem0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Ordem xmlns="c9ec503d-6f82-4f91-9403-97106548e09a" xsi:nil="true"/>
  </documentManagement>
</p:properties>
</file>

<file path=customXml/itemProps1.xml><?xml version="1.0" encoding="utf-8"?>
<ds:datastoreItem xmlns:ds="http://schemas.openxmlformats.org/officeDocument/2006/customXml" ds:itemID="{2E4EC771-9212-4096-84C5-7E637C6BF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9ec503d-6f82-4f91-9403-97106548e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DB1B0A-0EE6-4D50-A09D-1FB777E721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D93850-4928-48D9-84AC-95BFCDF9E74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ec503d-6f82-4f91-9403-97106548e0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64</vt:i4>
      </vt:variant>
      <vt:variant>
        <vt:lpstr>Intervalos com Nome</vt:lpstr>
      </vt:variant>
      <vt:variant>
        <vt:i4>5</vt:i4>
      </vt:variant>
    </vt:vector>
  </HeadingPairs>
  <TitlesOfParts>
    <vt:vector size="69" baseType="lpstr">
      <vt:lpstr>Índice</vt:lpstr>
      <vt:lpstr>Siglas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2.1</vt:lpstr>
      <vt:lpstr>2.2</vt:lpstr>
      <vt:lpstr>2.3</vt:lpstr>
      <vt:lpstr>3.1</vt:lpstr>
      <vt:lpstr>3.2</vt:lpstr>
      <vt:lpstr>3.3</vt:lpstr>
      <vt:lpstr>3.4</vt:lpstr>
      <vt:lpstr>3.5</vt:lpstr>
      <vt:lpstr>4.1</vt:lpstr>
      <vt:lpstr>4.2</vt:lpstr>
      <vt:lpstr>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</vt:lpstr>
      <vt:lpstr>4.13</vt:lpstr>
      <vt:lpstr>5.1</vt:lpstr>
      <vt:lpstr>5.2</vt:lpstr>
      <vt:lpstr>5.3</vt:lpstr>
      <vt:lpstr>5.4</vt:lpstr>
      <vt:lpstr>5.5</vt:lpstr>
      <vt:lpstr>5.6</vt:lpstr>
      <vt:lpstr>5.7</vt:lpstr>
      <vt:lpstr>5.8</vt:lpstr>
      <vt:lpstr>5.9</vt:lpstr>
      <vt:lpstr>5.10</vt:lpstr>
      <vt:lpstr>5.11</vt:lpstr>
      <vt:lpstr>5.12</vt:lpstr>
      <vt:lpstr>5.13</vt:lpstr>
      <vt:lpstr>5.14</vt:lpstr>
      <vt:lpstr>6.1</vt:lpstr>
      <vt:lpstr>6.2</vt:lpstr>
      <vt:lpstr>6.3</vt:lpstr>
      <vt:lpstr>6.4</vt:lpstr>
      <vt:lpstr>6.5</vt:lpstr>
      <vt:lpstr>6.6</vt:lpstr>
      <vt:lpstr>6.7</vt:lpstr>
      <vt:lpstr>6.8</vt:lpstr>
      <vt:lpstr>6.9</vt:lpstr>
      <vt:lpstr>6.10</vt:lpstr>
      <vt:lpstr>6.11</vt:lpstr>
      <vt:lpstr>6.12</vt:lpstr>
      <vt:lpstr>6.13</vt:lpstr>
      <vt:lpstr>6.14</vt:lpstr>
      <vt:lpstr>6.15</vt:lpstr>
      <vt:lpstr>6.16</vt:lpstr>
      <vt:lpstr>6.17</vt:lpstr>
      <vt:lpstr>'1.1'!Área_de_Impressão</vt:lpstr>
      <vt:lpstr>'3.5'!Área_de_Impressão</vt:lpstr>
      <vt:lpstr>'4.12'!Área_de_Impressão</vt:lpstr>
      <vt:lpstr>'4.2'!Área_de_Impressão</vt:lpstr>
      <vt:lpstr>'5.2'!Área_de_Impressão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ao Relatório Anual de Sinistralidade 2020 - 30 Dias, Fiscalização e Contraordenações</dc:title>
  <dc:creator/>
  <cp:lastModifiedBy/>
  <dcterms:created xsi:type="dcterms:W3CDTF">2022-11-18T12:18:44Z</dcterms:created>
  <dcterms:modified xsi:type="dcterms:W3CDTF">2026-03-18T18:34:05Z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0x01010007092E1673DA0E4095CB54B370D17A7B</vt:lpwstr>
  </property>
</Properties>
</file>